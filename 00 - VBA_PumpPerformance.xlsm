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ristofercosta/Library/Mobile Documents/com~apple~CloudDocs/Documents/07 - Software/00 - Projetos/VBA_PumpPerformance/"/>
    </mc:Choice>
  </mc:AlternateContent>
  <xr:revisionPtr revIDLastSave="0" documentId="13_ncr:1_{3D4B7507-917A-174C-B230-CAED2FF80426}" xr6:coauthVersionLast="36" xr6:coauthVersionMax="36" xr10:uidLastSave="{00000000-0000-0000-0000-000000000000}"/>
  <bookViews>
    <workbookView xWindow="1200" yWindow="2380" windowWidth="16860" windowHeight="15780" activeTab="2" xr2:uid="{DFEC6083-E8D4-9A4E-B909-7A4E1A165093}"/>
  </bookViews>
  <sheets>
    <sheet name="GettingStarted" sheetId="1" r:id="rId1"/>
    <sheet name="InputDataSheet" sheetId="3" r:id="rId2"/>
    <sheet name="InputTestData" sheetId="4" r:id="rId3"/>
    <sheet name="NamedRangesList" sheetId="6" r:id="rId4"/>
  </sheets>
  <definedNames>
    <definedName name="ApparatusZ0" localSheetId="2">InputTestData!$F$18</definedName>
    <definedName name="ApparatusZ3" localSheetId="2">InputTestData!$F$19</definedName>
    <definedName name="ApparatusZM0" localSheetId="2">InputTestData!$F$20</definedName>
    <definedName name="ApparatusZM3" localSheetId="2">InputTestData!$F$21</definedName>
    <definedName name="ChartLefCorner" localSheetId="2">InputTestData!$C$83</definedName>
    <definedName name="ChartRightCorner" localSheetId="2">InputTestData!$J$130</definedName>
    <definedName name="ChartRightMid" localSheetId="2">InputTestData!$J$110</definedName>
    <definedName name="_xlnm.Print_Area" localSheetId="2">InputTestData!$B$2:$K$131</definedName>
    <definedName name="_xlnm.Print_Titles" localSheetId="2">InputTestData!$1:$4</definedName>
    <definedName name="PumpD0" localSheetId="1">InputDataSheet!$G$3</definedName>
    <definedName name="PumpD0" localSheetId="2">InputTestData!$F$15</definedName>
    <definedName name="PumpD3" localSheetId="1">InputDataSheet!$G$4</definedName>
    <definedName name="PumpD3" localSheetId="2">InputTestData!$F$16</definedName>
    <definedName name="PumpTAG" localSheetId="1">InputDataSheet!$G$5</definedName>
    <definedName name="RatedPointDensity" localSheetId="1">InputDataSheet!$G$16</definedName>
    <definedName name="RatedPointDinVisc" localSheetId="1">InputDataSheet!$G$6</definedName>
    <definedName name="RatedPointDriverPower" localSheetId="1">InputDataSheet!$G$7</definedName>
    <definedName name="RatedPointEfficiency" localSheetId="1">InputDataSheet!$G$8</definedName>
    <definedName name="RatedPointHead" localSheetId="1">InputDataSheet!$G$9</definedName>
    <definedName name="RatedPointHydPower" localSheetId="1">InputDataSheet!$G$10</definedName>
    <definedName name="RatedPointN" localSheetId="1">InputDataSheet!$G$11</definedName>
    <definedName name="RatedPointNPSHA" localSheetId="1">InputDataSheet!$G$12</definedName>
    <definedName name="RatedPointP0" localSheetId="1">InputDataSheet!$G$13</definedName>
    <definedName name="RatedPointP3" localSheetId="1">InputDataSheet!$G$14</definedName>
    <definedName name="RatedPointQ" localSheetId="1">InputDataSheet!$G$15</definedName>
    <definedName name="RatedPointRho" localSheetId="1">InputDataSheet!$G$16</definedName>
    <definedName name="RatedPointTemp" localSheetId="1">InputDataSheet!$G$17</definedName>
    <definedName name="TestPointCorCEff" localSheetId="2">InputTestData!$E$67:$J$67</definedName>
    <definedName name="TestPointCorCH" localSheetId="2">InputTestData!$E$66:$J$66</definedName>
    <definedName name="TestPointCorCQ" localSheetId="2">InputTestData!$E$65:$J$65</definedName>
    <definedName name="TestPointCorDriverPower" localSheetId="2">InputTestData!$E$61:$J$61</definedName>
    <definedName name="TestPointCorEfficiency" localSheetId="2">InputTestData!$E$62:$J$62</definedName>
    <definedName name="TestPointCorHead" localSheetId="2">InputTestData!$E$60:$J$60</definedName>
    <definedName name="TestPointCorNPSH3" localSheetId="2">InputTestData!$E$64:$J$64</definedName>
    <definedName name="TestPointCorNspeed" localSheetId="2">InputTestData!$E$63:$J$63</definedName>
    <definedName name="TestPointCorQ" localSheetId="2">InputTestData!$E$59:$J$59</definedName>
    <definedName name="TestPointDriverPower" localSheetId="2">InputTestData!$E$52:$J$52</definedName>
    <definedName name="TestPointEfficiency" localSheetId="2">InputTestData!$E$53:$J$53</definedName>
    <definedName name="TestPointHead" localSheetId="2">InputTestData!$E$51:$J$51</definedName>
    <definedName name="TestPointNPSH3" localSheetId="2">InputTestData!$E$55:$J$55</definedName>
    <definedName name="TestPointNspeed" localSheetId="2">InputTestData!$E$54:$J$54</definedName>
    <definedName name="TestPointP0" localSheetId="2">InputTestData!$E$49:$J$49</definedName>
    <definedName name="TestPointP3" localSheetId="2">InputTestData!$E$50:$J$50</definedName>
    <definedName name="TestPointQ" localSheetId="2">InputTestData!$E$48:$J$48</definedName>
    <definedName name="TestPointTemp" localSheetId="2">InputTestData!$F$17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2" i="6" l="1"/>
  <c r="A42" i="6"/>
  <c r="B41" i="6"/>
  <c r="A41" i="6"/>
  <c r="B40" i="6"/>
  <c r="A40" i="6"/>
  <c r="B39" i="6"/>
  <c r="A39" i="6"/>
  <c r="B38" i="6"/>
  <c r="A38" i="6"/>
  <c r="B37" i="6"/>
  <c r="A37" i="6"/>
  <c r="B36" i="6"/>
  <c r="A36" i="6"/>
  <c r="B35" i="6"/>
  <c r="A35" i="6"/>
  <c r="B34" i="6"/>
  <c r="A34" i="6"/>
  <c r="B33" i="6"/>
  <c r="A33" i="6"/>
  <c r="B32" i="6"/>
  <c r="A32" i="6"/>
  <c r="B31" i="6"/>
  <c r="A31" i="6"/>
  <c r="B30" i="6"/>
  <c r="A30" i="6"/>
  <c r="B29" i="6"/>
  <c r="A29" i="6"/>
  <c r="B28" i="6"/>
  <c r="A28" i="6"/>
  <c r="B27" i="6"/>
  <c r="A27" i="6"/>
  <c r="B26" i="6"/>
  <c r="A26" i="6"/>
  <c r="B25" i="6"/>
  <c r="A25" i="6"/>
  <c r="B24" i="6"/>
  <c r="A24" i="6"/>
  <c r="B23" i="6"/>
  <c r="A23" i="6"/>
  <c r="B22" i="6"/>
  <c r="A22" i="6"/>
  <c r="B21" i="6"/>
  <c r="A21" i="6"/>
  <c r="B20" i="6"/>
  <c r="A20" i="6"/>
  <c r="B19" i="6"/>
  <c r="A19" i="6"/>
  <c r="B18" i="6"/>
  <c r="A18" i="6"/>
  <c r="B17" i="6"/>
  <c r="A17" i="6"/>
  <c r="B16" i="6"/>
  <c r="A16" i="6"/>
  <c r="B15" i="6"/>
  <c r="A15" i="6"/>
  <c r="B14" i="6"/>
  <c r="A14" i="6"/>
  <c r="B13" i="6"/>
  <c r="A13" i="6"/>
  <c r="B12" i="6"/>
  <c r="A12" i="6"/>
  <c r="B11" i="6"/>
  <c r="A11" i="6"/>
  <c r="B10" i="6"/>
  <c r="A10" i="6"/>
  <c r="B9" i="6"/>
  <c r="A9" i="6"/>
  <c r="B8" i="6"/>
  <c r="A8" i="6"/>
  <c r="B7" i="6"/>
  <c r="A7" i="6"/>
  <c r="B6" i="6"/>
  <c r="A6" i="6"/>
  <c r="B5" i="6"/>
  <c r="A5" i="6"/>
  <c r="B4" i="6"/>
  <c r="A4" i="6"/>
  <c r="B3" i="6"/>
  <c r="A3" i="6"/>
  <c r="B2" i="6"/>
  <c r="A2" i="6"/>
  <c r="B1" i="6"/>
  <c r="A1" i="6"/>
  <c r="B70" i="4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7" i="4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</calcChain>
</file>

<file path=xl/sharedStrings.xml><?xml version="1.0" encoding="utf-8"?>
<sst xmlns="http://schemas.openxmlformats.org/spreadsheetml/2006/main" count="357" uniqueCount="210">
  <si>
    <t>Cells coloured thus:</t>
  </si>
  <si>
    <t>required filling field</t>
  </si>
  <si>
    <t>automatically filled field (do not edit)</t>
  </si>
  <si>
    <t>optional filling field</t>
  </si>
  <si>
    <t/>
  </si>
  <si>
    <t>Rated</t>
  </si>
  <si>
    <t>°C</t>
  </si>
  <si>
    <t>m</t>
  </si>
  <si>
    <t>kW</t>
  </si>
  <si>
    <t>%</t>
  </si>
  <si>
    <t>EFFICIENCY</t>
  </si>
  <si>
    <t>6''</t>
  </si>
  <si>
    <t>Named Range</t>
  </si>
  <si>
    <t>Class</t>
  </si>
  <si>
    <t>Quantity</t>
  </si>
  <si>
    <t>Symbol</t>
  </si>
  <si>
    <t>Unit</t>
  </si>
  <si>
    <t>Value</t>
  </si>
  <si>
    <t>PumpD0</t>
  </si>
  <si>
    <t>PumpD3</t>
  </si>
  <si>
    <t>PumpTAG</t>
  </si>
  <si>
    <t>RatedPointDinVisc</t>
  </si>
  <si>
    <t>RatedPointDriverPower</t>
  </si>
  <si>
    <t>RatedPointEfficiency</t>
  </si>
  <si>
    <t>RatedPointHead</t>
  </si>
  <si>
    <t>RatedPointHydPower</t>
  </si>
  <si>
    <t>RatedPointN</t>
  </si>
  <si>
    <t>RatedPointNPSHA</t>
  </si>
  <si>
    <t>RatedPointP0</t>
  </si>
  <si>
    <t>RatedPointP3</t>
  </si>
  <si>
    <t>RatedPointQ</t>
  </si>
  <si>
    <t>RatedPointRho</t>
  </si>
  <si>
    <t>RatedPointTemp</t>
  </si>
  <si>
    <t>TEST DATA SUMMARY</t>
  </si>
  <si>
    <t>CUSTOMER</t>
  </si>
  <si>
    <t>CURV NO.</t>
  </si>
  <si>
    <t>PURCHASER</t>
  </si>
  <si>
    <t>TEST DATE</t>
  </si>
  <si>
    <t>PURCHASE ORDER NO.</t>
  </si>
  <si>
    <t>PUMP SERIAL NO.</t>
  </si>
  <si>
    <t>WITNESSED BY:</t>
  </si>
  <si>
    <t>SIZE AND TYPE</t>
  </si>
  <si>
    <t>NO. OF STAGES</t>
  </si>
  <si>
    <t>PUMP &amp; APARATUS DATA</t>
  </si>
  <si>
    <t>Quantity name</t>
  </si>
  <si>
    <t>INLET DIAMETER</t>
  </si>
  <si>
    <t>OUTLET DIAMETER</t>
  </si>
  <si>
    <t>TEST FLUID TEMPERATURE</t>
  </si>
  <si>
    <t>INLET NOZZLE CENTERLINE ELEVATION</t>
  </si>
  <si>
    <t>OUTLET NOZZLE CENTERLINE ELEVATION</t>
  </si>
  <si>
    <t>INLET MANOMETER ELEVATION</t>
  </si>
  <si>
    <t>OUTLET MANOMETER ELEVATION</t>
  </si>
  <si>
    <t>OVERALL PUMP PERFORMANCE</t>
  </si>
  <si>
    <t>Interpolate</t>
  </si>
  <si>
    <t>Actual deviation</t>
  </si>
  <si>
    <t>Quadratic</t>
  </si>
  <si>
    <t>Spline</t>
  </si>
  <si>
    <t>Acceptance tolerance</t>
  </si>
  <si>
    <t>FLOW</t>
  </si>
  <si>
    <r>
      <t>m</t>
    </r>
    <r>
      <rPr>
        <vertAlign val="superscript"/>
        <sz val="7"/>
        <color theme="1"/>
        <rFont val="Arial"/>
        <family val="2"/>
      </rPr>
      <t>3</t>
    </r>
    <r>
      <rPr>
        <sz val="7"/>
        <color theme="1"/>
        <rFont val="Arial"/>
        <family val="2"/>
      </rPr>
      <t>/h</t>
    </r>
  </si>
  <si>
    <t>HEAD</t>
  </si>
  <si>
    <t>POWER</t>
  </si>
  <si>
    <t>NPSH3</t>
  </si>
  <si>
    <t>SHUTOFF HEAD</t>
  </si>
  <si>
    <t>SPEED</t>
  </si>
  <si>
    <t>rpm</t>
  </si>
  <si>
    <t>MECHANICAL PERFORMANCE - Maximum vibration levels recorded within specified flow</t>
  </si>
  <si>
    <r>
      <t xml:space="preserve">        Test Flow
Unit        </t>
    </r>
    <r>
      <rPr>
        <sz val="7"/>
        <color theme="0"/>
        <rFont val="Arial"/>
        <family val="2"/>
      </rPr>
      <t>.</t>
    </r>
  </si>
  <si>
    <t>Shutoff</t>
  </si>
  <si>
    <t>MCSF</t>
  </si>
  <si>
    <t>Bet'n rated and MCSF</t>
  </si>
  <si>
    <t>105% of Rated</t>
  </si>
  <si>
    <t>End of allowed operation region</t>
  </si>
  <si>
    <t>Housing velocity:</t>
  </si>
  <si>
    <t>D.E. - OVERALL</t>
  </si>
  <si>
    <t>D.E. - FILTERED</t>
  </si>
  <si>
    <t>N.D.E. - OVERALL</t>
  </si>
  <si>
    <t>N.D.E. - FILTERED</t>
  </si>
  <si>
    <t>Shaft displacement:</t>
  </si>
  <si>
    <t>TEST DATA READINGS</t>
  </si>
  <si>
    <t>INLET PRESSURE</t>
  </si>
  <si>
    <r>
      <t>kgf/cm</t>
    </r>
    <r>
      <rPr>
        <vertAlign val="superscript"/>
        <sz val="7"/>
        <color theme="1"/>
        <rFont val="Arial"/>
        <family val="2"/>
      </rPr>
      <t>2</t>
    </r>
  </si>
  <si>
    <t>OUTLET PRESSURE</t>
  </si>
  <si>
    <t>DRIVER POWER</t>
  </si>
  <si>
    <t>CORRECTED DATA</t>
  </si>
  <si>
    <t>CQ</t>
  </si>
  <si>
    <t>-</t>
  </si>
  <si>
    <t>CH</t>
  </si>
  <si>
    <t>Cη</t>
  </si>
  <si>
    <t>BEARING TEMPERATURE</t>
  </si>
  <si>
    <t>Pressurized lubrication systems:</t>
  </si>
  <si>
    <t>Ring oil or splash lubrication:</t>
  </si>
  <si>
    <t>Reading</t>
  </si>
  <si>
    <t>AMBIENT TEMPERATURE</t>
  </si>
  <si>
    <t>AMBIENT TEMP.</t>
  </si>
  <si>
    <t>OIL TEMP. RISE</t>
  </si>
  <si>
    <t>OIL RETURN TEMP.</t>
  </si>
  <si>
    <t>OIL SUMP TEMP.</t>
  </si>
  <si>
    <t>MAX. BEARING METAL TEMP.</t>
  </si>
  <si>
    <t>DRIVE END JOURNAL</t>
  </si>
  <si>
    <t>NON-DRIVE END JOURNAL</t>
  </si>
  <si>
    <t>THRUST BEARING</t>
  </si>
  <si>
    <t>PERFORMANCE CURVES</t>
  </si>
  <si>
    <t>InputDataSheet</t>
  </si>
  <si>
    <t>ApparatusZ0</t>
  </si>
  <si>
    <t>InputTestData</t>
  </si>
  <si>
    <t>$F$18</t>
  </si>
  <si>
    <t>ApparatusZ3</t>
  </si>
  <si>
    <t>$F$19</t>
  </si>
  <si>
    <t>ApparatusZM0</t>
  </si>
  <si>
    <t>$F$20</t>
  </si>
  <si>
    <t>ApparatusZM3</t>
  </si>
  <si>
    <t>$F$21</t>
  </si>
  <si>
    <t>ChartLefCorner</t>
  </si>
  <si>
    <t>$C$83</t>
  </si>
  <si>
    <t>ChartRightCorner</t>
  </si>
  <si>
    <t>$J$130</t>
  </si>
  <si>
    <t>ChartRightMid</t>
  </si>
  <si>
    <t>$J$110</t>
  </si>
  <si>
    <t>$F$15</t>
  </si>
  <si>
    <t>$F$16</t>
  </si>
  <si>
    <t>TestPointCorCEff</t>
  </si>
  <si>
    <t>$E$67:$J$67</t>
  </si>
  <si>
    <t>TestPointCorCH</t>
  </si>
  <si>
    <t>$E$66:$J$66</t>
  </si>
  <si>
    <t>TestPointCorCQ</t>
  </si>
  <si>
    <t>$E$65:$J$65</t>
  </si>
  <si>
    <t>TestPointCorDriverPower</t>
  </si>
  <si>
    <t>$E$61:$J$61</t>
  </si>
  <si>
    <t>TestPointCorEfficiency</t>
  </si>
  <si>
    <t>$E$62:$J$62</t>
  </si>
  <si>
    <t>TestPointCorHead</t>
  </si>
  <si>
    <t>$E$60:$J$60</t>
  </si>
  <si>
    <t>TestPointCorNPSH3</t>
  </si>
  <si>
    <t>$E$64:$J$64</t>
  </si>
  <si>
    <t>TestPointCorNspeed</t>
  </si>
  <si>
    <t>$E$63:$J$63</t>
  </si>
  <si>
    <t>TestPointCorQ</t>
  </si>
  <si>
    <t>$E$59:$J$59</t>
  </si>
  <si>
    <t>TestPointDriverPower</t>
  </si>
  <si>
    <t>$E$52:$J$52</t>
  </si>
  <si>
    <t>TestPointEfficiency</t>
  </si>
  <si>
    <t>$E$53:$J$53</t>
  </si>
  <si>
    <t>TestPointHead</t>
  </si>
  <si>
    <t>$E$51:$J$51</t>
  </si>
  <si>
    <t>TestPointNPSH3</t>
  </si>
  <si>
    <t>$E$55:$J$55</t>
  </si>
  <si>
    <t>TestPointNspeed</t>
  </si>
  <si>
    <t>$E$54:$J$54</t>
  </si>
  <si>
    <t>TestPointP0</t>
  </si>
  <si>
    <t>$E$49:$J$49</t>
  </si>
  <si>
    <t>TestPointP3</t>
  </si>
  <si>
    <t>$E$50:$J$50</t>
  </si>
  <si>
    <t>TestPointQ</t>
  </si>
  <si>
    <t>$E$48:$J$48</t>
  </si>
  <si>
    <t>TestPointTemp</t>
  </si>
  <si>
    <t>$F$17</t>
  </si>
  <si>
    <t>$G$3</t>
  </si>
  <si>
    <t>$G$4</t>
  </si>
  <si>
    <t>$G$5</t>
  </si>
  <si>
    <t>$G$6</t>
  </si>
  <si>
    <t>$G$7</t>
  </si>
  <si>
    <t>$G$8</t>
  </si>
  <si>
    <t>$G$9</t>
  </si>
  <si>
    <t>$G$10</t>
  </si>
  <si>
    <t>$G$11</t>
  </si>
  <si>
    <t>$G$12</t>
  </si>
  <si>
    <t>$G$13</t>
  </si>
  <si>
    <t>$G$14</t>
  </si>
  <si>
    <t>$G$15</t>
  </si>
  <si>
    <t>$G$16</t>
  </si>
  <si>
    <t>$G$17</t>
  </si>
  <si>
    <t>8''</t>
  </si>
  <si>
    <t>B-171</t>
  </si>
  <si>
    <t>RatedPointDensity</t>
  </si>
  <si>
    <t>Pump</t>
  </si>
  <si>
    <t>Inlet diameter</t>
  </si>
  <si>
    <t>D0</t>
  </si>
  <si>
    <t>Outlet diameter</t>
  </si>
  <si>
    <t>D3</t>
  </si>
  <si>
    <t>TAG Number</t>
  </si>
  <si>
    <t>TAG</t>
  </si>
  <si>
    <t>RatedPoint</t>
  </si>
  <si>
    <t>Dynamic viscosity</t>
  </si>
  <si>
    <t>μ</t>
  </si>
  <si>
    <t>cP</t>
  </si>
  <si>
    <t>Rated driver power</t>
  </si>
  <si>
    <t>PD</t>
  </si>
  <si>
    <t>Rated efficiency</t>
  </si>
  <si>
    <t>η</t>
  </si>
  <si>
    <t>Rated diferential head</t>
  </si>
  <si>
    <t>HD</t>
  </si>
  <si>
    <t>Rated hydraulic power</t>
  </si>
  <si>
    <t>PH</t>
  </si>
  <si>
    <t>Rated rotative speed</t>
  </si>
  <si>
    <t>ND</t>
  </si>
  <si>
    <t>Rated NPSHA</t>
  </si>
  <si>
    <t>NPSHA</t>
  </si>
  <si>
    <t>Rated inlet pressure</t>
  </si>
  <si>
    <t>pD0</t>
  </si>
  <si>
    <t>kgf/cm2</t>
  </si>
  <si>
    <t>Rated outlet pressure</t>
  </si>
  <si>
    <t>pD3</t>
  </si>
  <si>
    <t>Rated volume flow</t>
  </si>
  <si>
    <t>QD</t>
  </si>
  <si>
    <t>m3/h</t>
  </si>
  <si>
    <t>Rated density</t>
  </si>
  <si>
    <t>ρD</t>
  </si>
  <si>
    <t>Rated pumping temperature</t>
  </si>
  <si>
    <t>ΘD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</si>
</sst>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5">
    <font>
      <sz val="10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Arial"/>
      <family val="2"/>
    </font>
    <font>
      <sz val="7"/>
      <color theme="1"/>
      <name val="Arial"/>
      <family val="2"/>
    </font>
    <font>
      <sz val="8"/>
      <color theme="1"/>
      <name val="Arial"/>
      <family val="2"/>
    </font>
    <font>
      <b/>
      <sz val="7"/>
      <color theme="1"/>
      <name val="Arial"/>
      <family val="2"/>
    </font>
    <font>
      <sz val="7"/>
      <color rgb="FF000000"/>
      <name val="Arial"/>
      <family val="2"/>
    </font>
    <font>
      <vertAlign val="superscript"/>
      <sz val="7"/>
      <color theme="1"/>
      <name val="Arial"/>
      <family val="2"/>
    </font>
    <font>
      <sz val="7"/>
      <color theme="0"/>
      <name val="Arial"/>
      <family val="2"/>
    </font>
    <font>
      <i/>
      <sz val="7"/>
      <color theme="1"/>
      <name val="Arial"/>
      <family val="2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CFFCD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6E6"/>
        <bgColor indexed="64"/>
      </patternFill>
    </fill>
  </fills>
  <borders count="21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 diagonalDown="1"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 style="hair">
        <color indexed="64"/>
      </diagonal>
    </border>
  </borders>
  <cellStyleXfs count="3">
    <xf numFmtId="0" fontId="0" fillId="0" borderId="0"/>
    <xf numFmtId="0" fontId="1" fillId="0" borderId="0"/>
    <xf numFmtId="0" fontId="1" fillId="0" borderId="0"/>
  </cellStyleXfs>
  <cellXfs count="97">
    <xf numFmtId="0" fontId="0" fillId="0" borderId="0" xfId="0"/>
    <xf numFmtId="0" fontId="2" fillId="0" borderId="0" xfId="1" applyFont="1" applyBorder="1"/>
    <xf numFmtId="0" fontId="2" fillId="0" borderId="0" xfId="1" applyFont="1"/>
    <xf numFmtId="0" fontId="3" fillId="0" borderId="5" xfId="0" applyFont="1" applyBorder="1" applyAlignment="1">
      <alignment horizontal="center" vertical="center"/>
    </xf>
    <xf numFmtId="0" fontId="2" fillId="0" borderId="0" xfId="1" applyFont="1" applyBorder="1" applyAlignment="1">
      <alignment horizontal="center"/>
    </xf>
    <xf numFmtId="0" fontId="2" fillId="0" borderId="6" xfId="1" applyFont="1" applyBorder="1" applyAlignment="1">
      <alignment horizontal="center"/>
    </xf>
    <xf numFmtId="0" fontId="2" fillId="0" borderId="7" xfId="1" applyFont="1" applyBorder="1"/>
    <xf numFmtId="0" fontId="2" fillId="0" borderId="8" xfId="1" applyFont="1" applyBorder="1"/>
    <xf numFmtId="0" fontId="2" fillId="0" borderId="9" xfId="1" applyFont="1" applyBorder="1" applyAlignment="1">
      <alignment horizontal="center"/>
    </xf>
    <xf numFmtId="0" fontId="5" fillId="0" borderId="10" xfId="1" applyFont="1" applyBorder="1" applyAlignment="1"/>
    <xf numFmtId="0" fontId="2" fillId="0" borderId="11" xfId="1" applyFont="1" applyBorder="1" applyAlignment="1">
      <alignment horizontal="center"/>
    </xf>
    <xf numFmtId="0" fontId="6" fillId="0" borderId="12" xfId="1" applyFont="1" applyBorder="1"/>
    <xf numFmtId="0" fontId="2" fillId="0" borderId="12" xfId="1" applyFont="1" applyBorder="1"/>
    <xf numFmtId="0" fontId="2" fillId="0" borderId="13" xfId="1" applyFont="1" applyBorder="1"/>
    <xf numFmtId="0" fontId="2" fillId="0" borderId="14" xfId="1" applyFont="1" applyBorder="1" applyAlignment="1">
      <alignment horizontal="center"/>
    </xf>
    <xf numFmtId="0" fontId="6" fillId="0" borderId="0" xfId="1" applyFont="1" applyBorder="1"/>
    <xf numFmtId="0" fontId="2" fillId="0" borderId="10" xfId="1" applyFont="1" applyBorder="1"/>
    <xf numFmtId="0" fontId="7" fillId="0" borderId="15" xfId="1" applyFont="1" applyBorder="1" applyAlignment="1">
      <alignment horizontal="center"/>
    </xf>
    <xf numFmtId="0" fontId="7" fillId="0" borderId="0" xfId="1" applyFont="1" applyBorder="1" applyAlignment="1">
      <alignment horizontal="left" indent="1"/>
    </xf>
    <xf numFmtId="0" fontId="7" fillId="0" borderId="0" xfId="1" applyFont="1" applyBorder="1"/>
    <xf numFmtId="0" fontId="7" fillId="0" borderId="12" xfId="1" applyFont="1" applyBorder="1"/>
    <xf numFmtId="0" fontId="8" fillId="0" borderId="7" xfId="1" applyFont="1" applyBorder="1" applyAlignment="1">
      <alignment horizontal="left" indent="1"/>
    </xf>
    <xf numFmtId="0" fontId="7" fillId="0" borderId="7" xfId="1" applyFont="1" applyBorder="1"/>
    <xf numFmtId="0" fontId="7" fillId="0" borderId="16" xfId="1" applyFont="1" applyBorder="1"/>
    <xf numFmtId="0" fontId="2" fillId="0" borderId="17" xfId="1" applyFont="1" applyBorder="1"/>
    <xf numFmtId="0" fontId="7" fillId="0" borderId="4" xfId="1" applyFont="1" applyBorder="1" applyAlignment="1">
      <alignment horizontal="center" vertical="center" wrapText="1"/>
    </xf>
    <xf numFmtId="0" fontId="7" fillId="0" borderId="4" xfId="1" applyFont="1" applyBorder="1" applyAlignment="1">
      <alignment horizontal="center" vertical="center"/>
    </xf>
    <xf numFmtId="0" fontId="7" fillId="0" borderId="1" xfId="1" applyFont="1" applyBorder="1" applyAlignment="1">
      <alignment horizontal="left" indent="1"/>
    </xf>
    <xf numFmtId="0" fontId="7" fillId="0" borderId="2" xfId="1" applyFont="1" applyBorder="1"/>
    <xf numFmtId="0" fontId="7" fillId="0" borderId="4" xfId="1" applyFont="1" applyBorder="1" applyAlignment="1">
      <alignment horizontal="center"/>
    </xf>
    <xf numFmtId="0" fontId="7" fillId="0" borderId="4" xfId="1" applyFont="1" applyBorder="1"/>
    <xf numFmtId="0" fontId="8" fillId="0" borderId="16" xfId="1" applyFont="1" applyBorder="1" applyAlignment="1">
      <alignment horizontal="left" indent="1"/>
    </xf>
    <xf numFmtId="0" fontId="9" fillId="0" borderId="16" xfId="1" applyFont="1" applyBorder="1"/>
    <xf numFmtId="0" fontId="7" fillId="0" borderId="7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 wrapText="1"/>
    </xf>
    <xf numFmtId="0" fontId="10" fillId="0" borderId="4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7" fillId="0" borderId="2" xfId="1" applyFont="1" applyBorder="1" applyAlignment="1">
      <alignment horizontal="left" vertical="center" indent="1"/>
    </xf>
    <xf numFmtId="0" fontId="7" fillId="0" borderId="12" xfId="1" applyFont="1" applyBorder="1" applyAlignment="1">
      <alignment horizontal="left" vertical="center" indent="1"/>
    </xf>
    <xf numFmtId="0" fontId="8" fillId="0" borderId="16" xfId="1" applyFont="1" applyBorder="1"/>
    <xf numFmtId="0" fontId="7" fillId="0" borderId="19" xfId="1" applyFont="1" applyBorder="1" applyAlignment="1">
      <alignment horizontal="center"/>
    </xf>
    <xf numFmtId="0" fontId="7" fillId="0" borderId="20" xfId="1" applyFont="1" applyFill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 wrapText="1"/>
    </xf>
    <xf numFmtId="0" fontId="7" fillId="0" borderId="18" xfId="1" applyFont="1" applyFill="1" applyBorder="1" applyAlignment="1">
      <alignment horizontal="center" vertical="center" wrapText="1"/>
    </xf>
    <xf numFmtId="0" fontId="4" fillId="0" borderId="8" xfId="1" applyFont="1" applyFill="1" applyBorder="1" applyAlignment="1">
      <alignment horizontal="center" vertical="center" wrapText="1"/>
    </xf>
    <xf numFmtId="0" fontId="13" fillId="0" borderId="0" xfId="1" applyFont="1" applyBorder="1" applyAlignment="1">
      <alignment horizontal="left"/>
    </xf>
    <xf numFmtId="0" fontId="7" fillId="0" borderId="2" xfId="1" applyFont="1" applyBorder="1" applyAlignment="1">
      <alignment horizontal="left" indent="2"/>
    </xf>
    <xf numFmtId="0" fontId="7" fillId="0" borderId="12" xfId="1" applyFont="1" applyBorder="1" applyAlignment="1">
      <alignment horizontal="left" indent="2"/>
    </xf>
    <xf numFmtId="0" fontId="8" fillId="0" borderId="16" xfId="1" applyFont="1" applyFill="1" applyBorder="1"/>
    <xf numFmtId="0" fontId="7" fillId="0" borderId="16" xfId="1" applyFont="1" applyFill="1" applyBorder="1"/>
    <xf numFmtId="0" fontId="6" fillId="0" borderId="0" xfId="1" applyFont="1" applyBorder="1" applyAlignment="1">
      <alignment wrapText="1"/>
    </xf>
    <xf numFmtId="0" fontId="7" fillId="0" borderId="2" xfId="1" applyFont="1" applyBorder="1" applyAlignment="1">
      <alignment horizontal="left" indent="1"/>
    </xf>
    <xf numFmtId="0" fontId="7" fillId="0" borderId="4" xfId="1" applyFont="1" applyFill="1" applyBorder="1" applyAlignment="1">
      <alignment horizontal="center"/>
    </xf>
    <xf numFmtId="0" fontId="7" fillId="0" borderId="12" xfId="1" applyFont="1" applyBorder="1" applyAlignment="1">
      <alignment horizontal="left" indent="1"/>
    </xf>
    <xf numFmtId="0" fontId="7" fillId="0" borderId="14" xfId="1" applyFont="1" applyBorder="1" applyAlignment="1">
      <alignment horizontal="center"/>
    </xf>
    <xf numFmtId="0" fontId="9" fillId="0" borderId="7" xfId="1" applyFont="1" applyBorder="1"/>
    <xf numFmtId="0" fontId="13" fillId="0" borderId="0" xfId="1" applyFont="1" applyBorder="1"/>
    <xf numFmtId="0" fontId="7" fillId="0" borderId="2" xfId="1" applyFont="1" applyBorder="1" applyAlignment="1">
      <alignment horizontal="center" vertical="center"/>
    </xf>
    <xf numFmtId="0" fontId="8" fillId="0" borderId="7" xfId="1" applyFont="1" applyBorder="1"/>
    <xf numFmtId="0" fontId="7" fillId="0" borderId="9" xfId="1" applyFont="1" applyBorder="1" applyAlignment="1">
      <alignment horizontal="center"/>
    </xf>
    <xf numFmtId="0" fontId="7" fillId="0" borderId="6" xfId="1" applyFont="1" applyBorder="1"/>
    <xf numFmtId="0" fontId="7" fillId="0" borderId="9" xfId="1" applyFont="1" applyBorder="1"/>
    <xf numFmtId="0" fontId="2" fillId="0" borderId="9" xfId="1" applyFont="1" applyBorder="1"/>
    <xf numFmtId="0" fontId="7" fillId="0" borderId="11" xfId="1" applyFont="1" applyBorder="1" applyAlignment="1">
      <alignment horizontal="center"/>
    </xf>
    <xf numFmtId="0" fontId="2" fillId="0" borderId="11" xfId="1" applyFont="1" applyBorder="1"/>
    <xf numFmtId="0" fontId="1" fillId="0" borderId="0" xfId="1"/>
    <xf numFmtId="49" fontId="1" fillId="0" borderId="0" xfId="1" quotePrefix="1" applyNumberFormat="1"/>
    <xf numFmtId="0" fontId="1" fillId="0" borderId="0" xfId="1" applyFont="1"/>
    <xf numFmtId="49" fontId="1" fillId="0" borderId="0" xfId="1" applyNumberFormat="1"/>
    <xf numFmtId="0" fontId="1" fillId="0" borderId="0" xfId="2" applyFont="1"/>
    <xf numFmtId="49" fontId="1" fillId="0" borderId="0" xfId="2" applyNumberFormat="1"/>
    <xf numFmtId="0" fontId="1" fillId="0" borderId="0" xfId="2"/>
    <xf numFmtId="49" fontId="1" fillId="0" borderId="0" xfId="1" quotePrefix="1" applyNumberFormat="1" applyFont="1"/>
    <xf numFmtId="0" fontId="14" fillId="0" borderId="0" xfId="0" applyFont="1"/>
    <xf numFmtId="0" fontId="7" fillId="5" borderId="9" xfId="1" applyFont="1" applyFill="1" applyBorder="1"/>
    <xf numFmtId="0" fontId="2" fillId="5" borderId="0" xfId="1" applyFont="1" applyFill="1" applyBorder="1"/>
    <xf numFmtId="0" fontId="7" fillId="5" borderId="0" xfId="1" applyFont="1" applyFill="1" applyBorder="1"/>
    <xf numFmtId="0" fontId="7" fillId="6" borderId="4" xfId="1" applyFont="1" applyFill="1" applyBorder="1"/>
    <xf numFmtId="164" fontId="7" fillId="6" borderId="4" xfId="1" applyNumberFormat="1" applyFont="1" applyFill="1" applyBorder="1"/>
    <xf numFmtId="1" fontId="7" fillId="6" borderId="4" xfId="1" applyNumberFormat="1" applyFont="1" applyFill="1" applyBorder="1"/>
    <xf numFmtId="164" fontId="7" fillId="3" borderId="4" xfId="1" applyNumberFormat="1" applyFont="1" applyFill="1" applyBorder="1"/>
    <xf numFmtId="1" fontId="7" fillId="3" borderId="4" xfId="1" applyNumberFormat="1" applyFont="1" applyFill="1" applyBorder="1"/>
    <xf numFmtId="0" fontId="2" fillId="2" borderId="0" xfId="1" applyFont="1" applyFill="1"/>
    <xf numFmtId="0" fontId="2" fillId="6" borderId="0" xfId="1" applyFont="1" applyFill="1"/>
    <xf numFmtId="0" fontId="2" fillId="4" borderId="0" xfId="1" applyFont="1" applyFill="1"/>
    <xf numFmtId="164" fontId="7" fillId="4" borderId="4" xfId="1" applyNumberFormat="1" applyFont="1" applyFill="1" applyBorder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7" fillId="0" borderId="3" xfId="1" applyFont="1" applyBorder="1" applyAlignment="1">
      <alignment horizontal="left" indent="1"/>
    </xf>
    <xf numFmtId="0" fontId="7" fillId="0" borderId="2" xfId="1" applyFont="1" applyBorder="1" applyAlignment="1">
      <alignment horizontal="left" indent="1"/>
    </xf>
    <xf numFmtId="0" fontId="4" fillId="0" borderId="0" xfId="1" applyFont="1" applyBorder="1" applyAlignment="1">
      <alignment horizontal="center"/>
    </xf>
    <xf numFmtId="0" fontId="7" fillId="0" borderId="1" xfId="1" applyFont="1" applyBorder="1" applyAlignment="1">
      <alignment horizontal="center" vertical="center" wrapText="1"/>
    </xf>
    <xf numFmtId="0" fontId="7" fillId="0" borderId="2" xfId="1" applyFont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</cellXfs>
  <cellStyles count="3">
    <cellStyle name="Normal" xfId="0" builtinId="0"/>
    <cellStyle name="Normal 2" xfId="1" xr:uid="{5D485C96-231F-7741-8CA3-4C8C1434580B}"/>
    <cellStyle name="Normal 2 2 2" xfId="2" xr:uid="{1D65EC6D-5FD3-0548-8FF0-3B19A9FA85BF}"/>
  </cellStyles>
  <dxfs count="0"/>
  <tableStyles count="0" defaultTableStyle="TableStyleMedium2" defaultPivotStyle="PivotStyleLight16"/>
  <colors>
    <mruColors>
      <color rgb="FFFFFFCC"/>
      <color rgb="FFE6E6E6"/>
      <color rgb="FFCCFF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Performance B-171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674817859649852"/>
          <c:y val="0.15150613113728556"/>
          <c:w val="0.79712283690522578"/>
          <c:h val="0.818470683200903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66CC"/>
              </a:solidFill>
              <a:ln>
                <a:solidFill>
                  <a:srgbClr val="0066CC"/>
                </a:solidFill>
                <a:prstDash val="solid"/>
              </a:ln>
            </c:spPr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169</c:v>
              </c:pt>
              <c:pt idx="2">
                <c:v>298</c:v>
              </c:pt>
              <c:pt idx="3">
                <c:v>427</c:v>
              </c:pt>
              <c:pt idx="4">
                <c:v>571</c:v>
              </c:pt>
              <c:pt idx="5">
                <c:v>696</c:v>
              </c:pt>
            </c:numLit>
          </c:xVal>
          <c:yVal>
            <c:numLit>
              <c:formatCode>General</c:formatCode>
              <c:ptCount val="6"/>
              <c:pt idx="0">
                <c:v>105.08394572249625</c:v>
              </c:pt>
              <c:pt idx="1">
                <c:v>105.31469898886016</c:v>
              </c:pt>
              <c:pt idx="2">
                <c:v>102.3175388542214</c:v>
              </c:pt>
              <c:pt idx="3">
                <c:v>98.033073439368692</c:v>
              </c:pt>
              <c:pt idx="4">
                <c:v>84.656238510860561</c:v>
              </c:pt>
              <c:pt idx="5">
                <c:v>71.337630514749918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062-BA4D-B337-BB31D3849655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542"/>
              </a:solidFill>
              <a:ln>
                <a:solidFill>
                  <a:srgbClr val="008542"/>
                </a:solidFill>
                <a:prstDash val="solid"/>
              </a:ln>
            </c:spPr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151.29029535796391</c:v>
              </c:pt>
              <c:pt idx="2">
                <c:v>266.77223678504879</c:v>
              </c:pt>
              <c:pt idx="3">
                <c:v>382.2541782121337</c:v>
              </c:pt>
              <c:pt idx="4">
                <c:v>511.1642523632982</c:v>
              </c:pt>
              <c:pt idx="5">
                <c:v>623.0653583972952</c:v>
              </c:pt>
            </c:numLit>
          </c:xVal>
          <c:yVal>
            <c:numLit>
              <c:formatCode>General</c:formatCode>
              <c:ptCount val="6"/>
              <c:pt idx="0">
                <c:v>95.566891737278283</c:v>
              </c:pt>
              <c:pt idx="1">
                <c:v>93.28073088297856</c:v>
              </c:pt>
              <c:pt idx="2">
                <c:v>89.340330161685699</c:v>
              </c:pt>
              <c:pt idx="3">
                <c:v>84.498334573825758</c:v>
              </c:pt>
              <c:pt idx="4">
                <c:v>71.989136951661337</c:v>
              </c:pt>
              <c:pt idx="5">
                <c:v>59.988990589667843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062-BA4D-B337-BB31D3849655}"/>
            </c:ext>
          </c:extLst>
        </c:ser>
        <c:ser>
          <c:idx val="2"/>
          <c:order val="2"/>
          <c:spPr>
            <a:ln w="7620">
              <a:solidFill>
                <a:schemeClr val="tx1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169</c:v>
              </c:pt>
              <c:pt idx="2">
                <c:v>298</c:v>
              </c:pt>
              <c:pt idx="3">
                <c:v>427</c:v>
              </c:pt>
              <c:pt idx="4">
                <c:v>571</c:v>
              </c:pt>
              <c:pt idx="5">
                <c:v>696</c:v>
              </c:pt>
            </c:numLit>
          </c:xVal>
          <c:yVal>
            <c:numLit>
              <c:formatCode>General</c:formatCode>
              <c:ptCount val="6"/>
              <c:pt idx="0">
                <c:v>105.13694704197991</c:v>
              </c:pt>
              <c:pt idx="1">
                <c:v>104.93457079334723</c:v>
              </c:pt>
              <c:pt idx="2">
                <c:v>103.15820095629333</c:v>
              </c:pt>
              <c:pt idx="3">
                <c:v>97.210242127662269</c:v>
              </c:pt>
              <c:pt idx="4">
                <c:v>85.057812486052896</c:v>
              </c:pt>
              <c:pt idx="5">
                <c:v>71.245352625221187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062-BA4D-B337-BB31D3849655}"/>
            </c:ext>
          </c:extLst>
        </c:ser>
        <c:ser>
          <c:idx val="3"/>
          <c:order val="3"/>
          <c:spPr>
            <a:ln w="6350" cmpd="sng">
              <a:solidFill>
                <a:schemeClr val="tx1"/>
              </a:solidFill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151.29029535796391</c:v>
              </c:pt>
              <c:pt idx="2">
                <c:v>266.77223678504879</c:v>
              </c:pt>
              <c:pt idx="3">
                <c:v>382.2541782121337</c:v>
              </c:pt>
              <c:pt idx="4">
                <c:v>511.1642523632982</c:v>
              </c:pt>
              <c:pt idx="5">
                <c:v>623.0653583972952</c:v>
              </c:pt>
            </c:numLit>
          </c:xVal>
          <c:yVal>
            <c:numLit>
              <c:formatCode>General</c:formatCode>
              <c:ptCount val="6"/>
              <c:pt idx="0">
                <c:v>95.611858203888019</c:v>
              </c:pt>
              <c:pt idx="1">
                <c:v>92.958229066467609</c:v>
              </c:pt>
              <c:pt idx="2">
                <c:v>90.053550223208077</c:v>
              </c:pt>
              <c:pt idx="3">
                <c:v>83.800242204357232</c:v>
              </c:pt>
              <c:pt idx="4">
                <c:v>72.329833427197173</c:v>
              </c:pt>
              <c:pt idx="5">
                <c:v>59.910701771979276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4062-BA4D-B337-BB31D3849655}"/>
            </c:ext>
          </c:extLst>
        </c:ser>
        <c:ser>
          <c:idx val="4"/>
          <c:order val="4"/>
          <c:spPr>
            <a:ln w="19050">
              <a:noFill/>
            </a:ln>
          </c:spPr>
          <c:marker>
            <c:symbol val="x"/>
            <c:size val="15"/>
            <c:spPr>
              <a:ln>
                <a:solidFill>
                  <a:srgbClr val="33339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450</c:v>
              </c:pt>
            </c:numLit>
          </c:xVal>
          <c:yVal>
            <c:numLit>
              <c:formatCode>General</c:formatCode>
              <c:ptCount val="1"/>
              <c:pt idx="0">
                <c:v>95.642343235367989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4062-BA4D-B337-BB31D3849655}"/>
            </c:ext>
          </c:extLst>
        </c:ser>
        <c:ser>
          <c:idx val="5"/>
          <c:order val="5"/>
          <c:spPr>
            <a:ln w="19050">
              <a:noFill/>
            </a:ln>
          </c:spPr>
          <c:marker>
            <c:symbol val="x"/>
            <c:size val="15"/>
            <c:spPr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450</c:v>
              </c:pt>
            </c:numLit>
          </c:xVal>
          <c:yVal>
            <c:numLit>
              <c:formatCode>General</c:formatCode>
              <c:ptCount val="1"/>
              <c:pt idx="0">
                <c:v>78.306890735300669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4062-BA4D-B337-BB31D3849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739423"/>
        <c:axId val="1312324943"/>
      </c:scatterChart>
      <c:scatterChart>
        <c:scatterStyle val="lineMarker"/>
        <c:varyColors val="0"/>
        <c:ser>
          <c:idx val="6"/>
          <c:order val="6"/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66CC"/>
              </a:solidFill>
              <a:ln>
                <a:solidFill>
                  <a:srgbClr val="0066CC"/>
                </a:solidFill>
                <a:prstDash val="solid"/>
              </a:ln>
            </c:spPr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169</c:v>
              </c:pt>
              <c:pt idx="2">
                <c:v>298</c:v>
              </c:pt>
              <c:pt idx="3">
                <c:v>427</c:v>
              </c:pt>
              <c:pt idx="4">
                <c:v>571</c:v>
              </c:pt>
              <c:pt idx="5">
                <c:v>696</c:v>
              </c:pt>
            </c:numLit>
          </c:xVal>
          <c:yVal>
            <c:numLit>
              <c:formatCode>General</c:formatCode>
              <c:ptCount val="6"/>
              <c:pt idx="0">
                <c:v>55</c:v>
              </c:pt>
              <c:pt idx="1">
                <c:v>96</c:v>
              </c:pt>
              <c:pt idx="2">
                <c:v>120</c:v>
              </c:pt>
              <c:pt idx="3">
                <c:v>143</c:v>
              </c:pt>
              <c:pt idx="4">
                <c:v>166</c:v>
              </c:pt>
              <c:pt idx="5">
                <c:v>186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4062-BA4D-B337-BB31D3849655}"/>
            </c:ext>
          </c:extLst>
        </c:ser>
        <c:ser>
          <c:idx val="7"/>
          <c:order val="7"/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542"/>
              </a:solidFill>
              <a:ln>
                <a:solidFill>
                  <a:srgbClr val="008542"/>
                </a:solidFill>
                <a:prstDash val="solid"/>
              </a:ln>
            </c:spPr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151.29029535796391</c:v>
              </c:pt>
              <c:pt idx="2">
                <c:v>266.77223678504879</c:v>
              </c:pt>
              <c:pt idx="3">
                <c:v>382.2541782121337</c:v>
              </c:pt>
              <c:pt idx="4">
                <c:v>511.1642523632982</c:v>
              </c:pt>
              <c:pt idx="5">
                <c:v>623.0653583972952</c:v>
              </c:pt>
            </c:numLit>
          </c:xVal>
          <c:yVal>
            <c:numLit>
              <c:formatCode>General</c:formatCode>
              <c:ptCount val="6"/>
              <c:pt idx="0">
                <c:v>33.390072644077712</c:v>
              </c:pt>
              <c:pt idx="1">
                <c:v>72.313561247375802</c:v>
              </c:pt>
              <c:pt idx="2">
                <c:v>89.109556349226324</c:v>
              </c:pt>
              <c:pt idx="3">
                <c:v>104.82313293671</c:v>
              </c:pt>
              <c:pt idx="4">
                <c:v>120.04985909812896</c:v>
              </c:pt>
              <c:pt idx="5">
                <c:v>133.01829774002456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4062-BA4D-B337-BB31D3849655}"/>
            </c:ext>
          </c:extLst>
        </c:ser>
        <c:ser>
          <c:idx val="8"/>
          <c:order val="8"/>
          <c:spPr>
            <a:ln w="7620">
              <a:solidFill>
                <a:schemeClr val="tx1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169</c:v>
              </c:pt>
              <c:pt idx="2">
                <c:v>298</c:v>
              </c:pt>
              <c:pt idx="3">
                <c:v>427</c:v>
              </c:pt>
              <c:pt idx="4">
                <c:v>571</c:v>
              </c:pt>
              <c:pt idx="5">
                <c:v>696</c:v>
              </c:pt>
            </c:numLit>
          </c:xVal>
          <c:yVal>
            <c:numLit>
              <c:formatCode>General</c:formatCode>
              <c:ptCount val="6"/>
              <c:pt idx="0">
                <c:v>55.026956969982024</c:v>
              </c:pt>
              <c:pt idx="1">
                <c:v>95.806663221678349</c:v>
              </c:pt>
              <c:pt idx="2">
                <c:v>120.42756865812693</c:v>
              </c:pt>
              <c:pt idx="3">
                <c:v>142.58150024969126</c:v>
              </c:pt>
              <c:pt idx="4">
                <c:v>166.2042443037322</c:v>
              </c:pt>
              <c:pt idx="5">
                <c:v>185.95306659678926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4062-BA4D-B337-BB31D3849655}"/>
            </c:ext>
          </c:extLst>
        </c:ser>
        <c:ser>
          <c:idx val="9"/>
          <c:order val="9"/>
          <c:spPr>
            <a:ln w="6350" cmpd="sng">
              <a:solidFill>
                <a:schemeClr val="tx1"/>
              </a:solidFill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151.29029535796391</c:v>
              </c:pt>
              <c:pt idx="2">
                <c:v>266.77223678504879</c:v>
              </c:pt>
              <c:pt idx="3">
                <c:v>382.2541782121337</c:v>
              </c:pt>
              <c:pt idx="4">
                <c:v>511.1642523632982</c:v>
              </c:pt>
              <c:pt idx="5">
                <c:v>623.0653583972952</c:v>
              </c:pt>
            </c:numLit>
          </c:xVal>
          <c:yVal>
            <c:numLit>
              <c:formatCode>General</c:formatCode>
              <c:ptCount val="6"/>
              <c:pt idx="0">
                <c:v>33.425135279923857</c:v>
              </c:pt>
              <c:pt idx="1">
                <c:v>72.062090215636204</c:v>
              </c:pt>
              <c:pt idx="2">
                <c:v>89.665690223660903</c:v>
              </c:pt>
              <c:pt idx="3">
                <c:v>104.278794891427</c:v>
              </c:pt>
              <c:pt idx="4">
                <c:v>120.3155174288012</c:v>
              </c:pt>
              <c:pt idx="5">
                <c:v>132.95725197609426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4062-BA4D-B337-BB31D3849655}"/>
            </c:ext>
          </c:extLst>
        </c:ser>
        <c:ser>
          <c:idx val="10"/>
          <c:order val="10"/>
          <c:spPr>
            <a:ln w="19050">
              <a:noFill/>
            </a:ln>
          </c:spPr>
          <c:marker>
            <c:symbol val="x"/>
            <c:size val="15"/>
            <c:spPr>
              <a:ln>
                <a:solidFill>
                  <a:srgbClr val="33339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450</c:v>
              </c:pt>
            </c:numLit>
          </c:xVal>
          <c:yVal>
            <c:numLit>
              <c:formatCode>General</c:formatCode>
              <c:ptCount val="1"/>
              <c:pt idx="0">
                <c:v>146.40718371865756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4062-BA4D-B337-BB31D3849655}"/>
            </c:ext>
          </c:extLst>
        </c:ser>
        <c:ser>
          <c:idx val="11"/>
          <c:order val="11"/>
          <c:spPr>
            <a:ln w="19050">
              <a:noFill/>
            </a:ln>
          </c:spPr>
          <c:marker>
            <c:symbol val="x"/>
            <c:size val="15"/>
            <c:spPr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450</c:v>
              </c:pt>
            </c:numLit>
          </c:xVal>
          <c:yVal>
            <c:numLit>
              <c:formatCode>General</c:formatCode>
              <c:ptCount val="1"/>
              <c:pt idx="0">
                <c:v>112.71501829183501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4062-BA4D-B337-BB31D3849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840623"/>
        <c:axId val="1316834911"/>
      </c:scatterChart>
      <c:valAx>
        <c:axId val="1312739423"/>
        <c:scaling>
          <c:orientation val="minMax"/>
        </c:scaling>
        <c:delete val="0"/>
        <c:axPos val="b"/>
        <c:majorGridlines>
          <c:spPr>
            <a:ln>
              <a:solidFill>
                <a:srgbClr val="B4B4B4"/>
              </a:solidFill>
              <a:prstDash val="lgDash"/>
            </a:ln>
          </c:spPr>
        </c:majorGridlines>
        <c:numFmt formatCode="General" sourceLinked="1"/>
        <c:majorTickMark val="none"/>
        <c:minorTickMark val="none"/>
        <c:tickLblPos val="high"/>
        <c:spPr>
          <a:ln w="6350">
            <a:noFill/>
          </a:ln>
        </c:spPr>
        <c:crossAx val="1312324943"/>
        <c:crosses val="autoZero"/>
        <c:crossBetween val="midCat"/>
      </c:valAx>
      <c:valAx>
        <c:axId val="1312324943"/>
        <c:scaling>
          <c:orientation val="minMax"/>
          <c:max val="110"/>
          <c:min val="10"/>
        </c:scaling>
        <c:delete val="0"/>
        <c:axPos val="l"/>
        <c:majorGridlines>
          <c:spPr>
            <a:ln>
              <a:solidFill>
                <a:srgbClr val="B4B4B4"/>
              </a:solidFill>
              <a:prstDash val="lg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Head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2739423"/>
        <c:crosses val="autoZero"/>
        <c:crossBetween val="midCat"/>
      </c:valAx>
      <c:valAx>
        <c:axId val="1316834911"/>
        <c:scaling>
          <c:orientation val="minMax"/>
          <c:max val="460"/>
          <c:min val="2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Driver Power (kW)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6840623"/>
        <c:crosses val="max"/>
        <c:crossBetween val="midCat"/>
      </c:valAx>
      <c:valAx>
        <c:axId val="13168406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683491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74817859649852"/>
          <c:y val="2.1172442223262148E-2"/>
          <c:w val="0.79712283690522578"/>
          <c:h val="0.75936105130619669"/>
        </c:manualLayout>
      </c:layout>
      <c:scatterChart>
        <c:scatterStyle val="lineMarker"/>
        <c:varyColors val="0"/>
        <c:ser>
          <c:idx val="0"/>
          <c:order val="0"/>
          <c:tx>
            <c:v>Test data</c:v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66CC"/>
              </a:solidFill>
              <a:ln>
                <a:solidFill>
                  <a:srgbClr val="0066CC"/>
                </a:solidFill>
                <a:prstDash val="solid"/>
              </a:ln>
            </c:spPr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169</c:v>
              </c:pt>
              <c:pt idx="2">
                <c:v>298</c:v>
              </c:pt>
              <c:pt idx="3">
                <c:v>427</c:v>
              </c:pt>
              <c:pt idx="4">
                <c:v>571</c:v>
              </c:pt>
              <c:pt idx="5">
                <c:v>696</c:v>
              </c:pt>
            </c:numLit>
          </c:xVal>
          <c:yVal>
            <c:numLit>
              <c:formatCode>General</c:formatCode>
              <c:ptCount val="6"/>
              <c:pt idx="0">
                <c:v>0</c:v>
              </c:pt>
              <c:pt idx="1">
                <c:v>50.268282805297503</c:v>
              </c:pt>
              <c:pt idx="2">
                <c:v>68.892935532864698</c:v>
              </c:pt>
              <c:pt idx="3">
                <c:v>79.369572909145006</c:v>
              </c:pt>
              <c:pt idx="4">
                <c:v>78.954443230934686</c:v>
              </c:pt>
              <c:pt idx="5">
                <c:v>72.377664131238348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239-A145-BCBA-9DAEF7B5BD25}"/>
            </c:ext>
          </c:extLst>
        </c:ser>
        <c:ser>
          <c:idx val="1"/>
          <c:order val="1"/>
          <c:tx>
            <c:v>Corrected data</c:v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542"/>
              </a:solidFill>
              <a:ln>
                <a:solidFill>
                  <a:srgbClr val="008542"/>
                </a:solidFill>
                <a:prstDash val="solid"/>
              </a:ln>
            </c:spPr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151.29029535796391</c:v>
              </c:pt>
              <c:pt idx="2">
                <c:v>266.77223678504879</c:v>
              </c:pt>
              <c:pt idx="3">
                <c:v>382.2541782121337</c:v>
              </c:pt>
              <c:pt idx="4">
                <c:v>511.1642523632982</c:v>
              </c:pt>
              <c:pt idx="5">
                <c:v>623.0653583972952</c:v>
              </c:pt>
            </c:numLit>
          </c:xVal>
          <c:yVal>
            <c:numLit>
              <c:formatCode>General</c:formatCode>
              <c:ptCount val="6"/>
              <c:pt idx="0">
                <c:v>0</c:v>
              </c:pt>
              <c:pt idx="1">
                <c:v>37.223331228939308</c:v>
              </c:pt>
              <c:pt idx="2">
                <c:v>51.014763496228568</c:v>
              </c:pt>
              <c:pt idx="3">
                <c:v>58.77264424049919</c:v>
              </c:pt>
              <c:pt idx="4">
                <c:v>58.465243457089947</c:v>
              </c:pt>
              <c:pt idx="5">
                <c:v>53.595181995158271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239-A145-BCBA-9DAEF7B5BD25}"/>
            </c:ext>
          </c:extLst>
        </c:ser>
        <c:ser>
          <c:idx val="2"/>
          <c:order val="2"/>
          <c:tx>
            <c:v>Test data</c:v>
          </c:tx>
          <c:spPr>
            <a:ln w="7620">
              <a:solidFill>
                <a:schemeClr val="tx1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169</c:v>
              </c:pt>
              <c:pt idx="2">
                <c:v>298</c:v>
              </c:pt>
              <c:pt idx="3">
                <c:v>427</c:v>
              </c:pt>
              <c:pt idx="4">
                <c:v>571</c:v>
              </c:pt>
              <c:pt idx="5">
                <c:v>696</c:v>
              </c:pt>
            </c:numLit>
          </c:xVal>
          <c:yVal>
            <c:numLit>
              <c:formatCode>General</c:formatCode>
              <c:ptCount val="6"/>
              <c:pt idx="0">
                <c:v>4.5910232303381093E-2</c:v>
              </c:pt>
              <c:pt idx="1">
                <c:v>49.939012252581207</c:v>
              </c:pt>
              <c:pt idx="2">
                <c:v>69.621124807599458</c:v>
              </c:pt>
              <c:pt idx="3">
                <c:v>78.656828829658394</c:v>
              </c:pt>
              <c:pt idx="4">
                <c:v>79.302290316020361</c:v>
              </c:pt>
              <c:pt idx="5">
                <c:v>72.297732171317392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239-A145-BCBA-9DAEF7B5BD25}"/>
            </c:ext>
          </c:extLst>
        </c:ser>
        <c:ser>
          <c:idx val="3"/>
          <c:order val="3"/>
          <c:tx>
            <c:v>Corrected data</c:v>
          </c:tx>
          <c:spPr>
            <a:ln w="6350" cmpd="sng">
              <a:solidFill>
                <a:schemeClr val="tx1"/>
              </a:solidFill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151.29029535796391</c:v>
              </c:pt>
              <c:pt idx="2">
                <c:v>266.77223678504879</c:v>
              </c:pt>
              <c:pt idx="3">
                <c:v>382.2541782121337</c:v>
              </c:pt>
              <c:pt idx="4">
                <c:v>511.1642523632982</c:v>
              </c:pt>
              <c:pt idx="5">
                <c:v>623.0653583972952</c:v>
              </c:pt>
            </c:numLit>
          </c:xVal>
          <c:yVal>
            <c:numLit>
              <c:formatCode>General</c:formatCode>
              <c:ptCount val="6"/>
              <c:pt idx="0">
                <c:v>3.3996223631634237E-2</c:v>
              </c:pt>
              <c:pt idx="1">
                <c:v>36.979508560574779</c:v>
              </c:pt>
              <c:pt idx="2">
                <c:v>51.553982842069402</c:v>
              </c:pt>
              <c:pt idx="3">
                <c:v>58.244861959673017</c:v>
              </c:pt>
              <c:pt idx="4">
                <c:v>58.72282192491457</c:v>
              </c:pt>
              <c:pt idx="5">
                <c:v>53.535992907051892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239-A145-BCBA-9DAEF7B5BD25}"/>
            </c:ext>
          </c:extLst>
        </c:ser>
        <c:ser>
          <c:idx val="4"/>
          <c:order val="4"/>
          <c:tx>
            <c:v>Rated Point</c:v>
          </c:tx>
          <c:spPr>
            <a:ln w="19050">
              <a:noFill/>
            </a:ln>
          </c:spPr>
          <c:marker>
            <c:symbol val="x"/>
            <c:size val="15"/>
            <c:spPr>
              <a:ln>
                <a:solidFill>
                  <a:srgbClr val="33339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450</c:v>
              </c:pt>
            </c:numLit>
          </c:xVal>
          <c:yVal>
            <c:numLit>
              <c:formatCode>General</c:formatCode>
              <c:ptCount val="1"/>
              <c:pt idx="0">
                <c:v>79.380505405606442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7239-A145-BCBA-9DAEF7B5BD25}"/>
            </c:ext>
          </c:extLst>
        </c:ser>
        <c:ser>
          <c:idx val="5"/>
          <c:order val="5"/>
          <c:tx>
            <c:v>Guarantee point</c:v>
          </c:tx>
          <c:spPr>
            <a:ln w="19050">
              <a:noFill/>
            </a:ln>
          </c:spPr>
          <c:marker>
            <c:symbol val="x"/>
            <c:size val="15"/>
            <c:spPr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450</c:v>
              </c:pt>
            </c:numLit>
          </c:xVal>
          <c:yVal>
            <c:numLit>
              <c:formatCode>General</c:formatCode>
              <c:ptCount val="1"/>
              <c:pt idx="0">
                <c:v>59.339584825448398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7239-A145-BCBA-9DAEF7B5B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033455"/>
        <c:axId val="1311035135"/>
      </c:scatterChart>
      <c:scatterChart>
        <c:scatterStyle val="lineMarker"/>
        <c:varyColors val="0"/>
        <c:ser>
          <c:idx val="6"/>
          <c:order val="6"/>
          <c:tx>
            <c:v>Test data</c:v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66CC"/>
              </a:solidFill>
              <a:ln>
                <a:solidFill>
                  <a:srgbClr val="0066CC"/>
                </a:solidFill>
                <a:prstDash val="solid"/>
              </a:ln>
            </c:spPr>
          </c:marker>
          <c:xVal>
            <c:numLit>
              <c:formatCode>General</c:formatCode>
              <c:ptCount val="5"/>
              <c:pt idx="0">
                <c:v>169</c:v>
              </c:pt>
              <c:pt idx="1">
                <c:v>298</c:v>
              </c:pt>
              <c:pt idx="2">
                <c:v>427</c:v>
              </c:pt>
              <c:pt idx="3">
                <c:v>571</c:v>
              </c:pt>
              <c:pt idx="4">
                <c:v>696</c:v>
              </c:pt>
            </c:numLit>
          </c:xVal>
          <c:yVal>
            <c:numLit>
              <c:formatCode>General</c:formatCode>
              <c:ptCount val="5"/>
              <c:pt idx="0">
                <c:v>3.1</c:v>
              </c:pt>
              <c:pt idx="1">
                <c:v>2.2000000000000002</c:v>
              </c:pt>
              <c:pt idx="2">
                <c:v>2</c:v>
              </c:pt>
              <c:pt idx="3">
                <c:v>2</c:v>
              </c:pt>
              <c:pt idx="4">
                <c:v>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7239-A145-BCBA-9DAEF7B5BD25}"/>
            </c:ext>
          </c:extLst>
        </c:ser>
        <c:ser>
          <c:idx val="7"/>
          <c:order val="7"/>
          <c:tx>
            <c:v>Corrected data</c:v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542"/>
              </a:solidFill>
              <a:ln>
                <a:solidFill>
                  <a:srgbClr val="008542"/>
                </a:solidFill>
                <a:prstDash val="solid"/>
              </a:ln>
            </c:spPr>
          </c:marker>
          <c:xVal>
            <c:numLit>
              <c:formatCode>General</c:formatCode>
              <c:ptCount val="5"/>
              <c:pt idx="0">
                <c:v>151.29029535796391</c:v>
              </c:pt>
              <c:pt idx="1">
                <c:v>266.77223678504879</c:v>
              </c:pt>
              <c:pt idx="2">
                <c:v>382.2541782121337</c:v>
              </c:pt>
              <c:pt idx="3">
                <c:v>511.1642523632982</c:v>
              </c:pt>
              <c:pt idx="4">
                <c:v>623.0653583972952</c:v>
              </c:pt>
            </c:numLit>
          </c:xVal>
          <c:yVal>
            <c:numLit>
              <c:formatCode>General</c:formatCode>
              <c:ptCount val="5"/>
              <c:pt idx="0">
                <c:v>2.8192447699662297</c:v>
              </c:pt>
              <c:pt idx="1">
                <c:v>2.0007543528792597</c:v>
              </c:pt>
              <c:pt idx="2">
                <c:v>1.8188675935265997</c:v>
              </c:pt>
              <c:pt idx="3">
                <c:v>1.8188675935265997</c:v>
              </c:pt>
              <c:pt idx="4">
                <c:v>2.7283013902898996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7239-A145-BCBA-9DAEF7B5BD25}"/>
            </c:ext>
          </c:extLst>
        </c:ser>
        <c:ser>
          <c:idx val="8"/>
          <c:order val="8"/>
          <c:tx>
            <c:v>Test data</c:v>
          </c:tx>
          <c:spPr>
            <a:ln w="7620">
              <a:solidFill>
                <a:schemeClr val="tx1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169</c:v>
              </c:pt>
              <c:pt idx="1">
                <c:v>298</c:v>
              </c:pt>
              <c:pt idx="2">
                <c:v>427</c:v>
              </c:pt>
              <c:pt idx="3">
                <c:v>571</c:v>
              </c:pt>
              <c:pt idx="4">
                <c:v>696</c:v>
              </c:pt>
            </c:numLit>
          </c:xVal>
          <c:yVal>
            <c:numLit>
              <c:formatCode>General</c:formatCode>
              <c:ptCount val="5"/>
              <c:pt idx="0">
                <c:v>2.9998103436314043</c:v>
              </c:pt>
              <c:pt idx="1">
                <c:v>2.4215716911370713</c:v>
              </c:pt>
              <c:pt idx="2">
                <c:v>1.7831279359376726</c:v>
              </c:pt>
              <c:pt idx="3">
                <c:v>2.1058420792143675</c:v>
              </c:pt>
              <c:pt idx="4">
                <c:v>2.9756784943831445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7239-A145-BCBA-9DAEF7B5BD25}"/>
            </c:ext>
          </c:extLst>
        </c:ser>
        <c:ser>
          <c:idx val="9"/>
          <c:order val="9"/>
          <c:tx>
            <c:v>Corrected data</c:v>
          </c:tx>
          <c:spPr>
            <a:ln w="6350" cmpd="sng">
              <a:solidFill>
                <a:schemeClr val="tx1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151.29029535796391</c:v>
              </c:pt>
              <c:pt idx="1">
                <c:v>266.77223678504879</c:v>
              </c:pt>
              <c:pt idx="2">
                <c:v>382.2541782121337</c:v>
              </c:pt>
              <c:pt idx="3">
                <c:v>511.1642523632982</c:v>
              </c:pt>
              <c:pt idx="4">
                <c:v>623.0653583972952</c:v>
              </c:pt>
            </c:numLit>
          </c:xVal>
          <c:yVal>
            <c:numLit>
              <c:formatCode>General</c:formatCode>
              <c:ptCount val="5"/>
              <c:pt idx="0">
                <c:v>2.7281289103785413</c:v>
              </c:pt>
              <c:pt idx="1">
                <c:v>2.2022591372053135</c:v>
              </c:pt>
              <c:pt idx="2">
                <c:v>1.6216368088945039</c:v>
              </c:pt>
              <c:pt idx="3">
                <c:v>1.9151239574838499</c:v>
              </c:pt>
              <c:pt idx="4">
                <c:v>2.70618259109375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7239-A145-BCBA-9DAEF7B5BD25}"/>
            </c:ext>
          </c:extLst>
        </c:ser>
        <c:ser>
          <c:idx val="10"/>
          <c:order val="10"/>
          <c:tx>
            <c:v>Test data</c:v>
          </c:tx>
          <c:spPr>
            <a:ln w="19050">
              <a:noFill/>
            </a:ln>
          </c:spPr>
          <c:marker>
            <c:symbol val="x"/>
            <c:size val="15"/>
            <c:spPr>
              <a:ln>
                <a:solidFill>
                  <a:srgbClr val="33339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450</c:v>
              </c:pt>
            </c:numLit>
          </c:xVal>
          <c:yVal>
            <c:numLit>
              <c:formatCode>General</c:formatCode>
              <c:ptCount val="1"/>
              <c:pt idx="0">
                <c:v>1.7525358537866591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7239-A145-BCBA-9DAEF7B5BD25}"/>
            </c:ext>
          </c:extLst>
        </c:ser>
        <c:ser>
          <c:idx val="11"/>
          <c:order val="11"/>
          <c:tx>
            <c:v>Remove</c:v>
          </c:tx>
          <c:spPr>
            <a:ln w="19050">
              <a:noFill/>
            </a:ln>
          </c:spPr>
          <c:marker>
            <c:symbol val="x"/>
            <c:size val="15"/>
            <c:spPr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450</c:v>
              </c:pt>
            </c:numLit>
          </c:xVal>
          <c:yVal>
            <c:numLit>
              <c:formatCode>General</c:formatCode>
              <c:ptCount val="1"/>
              <c:pt idx="0">
                <c:v>1.6407799933148475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7239-A145-BCBA-9DAEF7B5B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741423"/>
        <c:axId val="1311738415"/>
      </c:scatterChart>
      <c:valAx>
        <c:axId val="1311033455"/>
        <c:scaling>
          <c:orientation val="minMax"/>
        </c:scaling>
        <c:delete val="0"/>
        <c:axPos val="b"/>
        <c:majorGridlines>
          <c:spPr>
            <a:ln>
              <a:solidFill>
                <a:srgbClr val="B4B4B4"/>
              </a:solidFill>
              <a:prstDash val="lg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Volume Flow (m^3/h)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1035135"/>
        <c:crosses val="autoZero"/>
        <c:crossBetween val="midCat"/>
      </c:valAx>
      <c:valAx>
        <c:axId val="1311035135"/>
        <c:scaling>
          <c:orientation val="minMax"/>
          <c:max val="90"/>
          <c:min val="0"/>
        </c:scaling>
        <c:delete val="0"/>
        <c:axPos val="l"/>
        <c:majorGridlines>
          <c:spPr>
            <a:ln>
              <a:solidFill>
                <a:srgbClr val="B4B4B4"/>
              </a:solidFill>
              <a:prstDash val="lg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Efficiency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1033455"/>
        <c:crosses val="autoZero"/>
        <c:crossBetween val="midCat"/>
      </c:valAx>
      <c:valAx>
        <c:axId val="1311738415"/>
        <c:scaling>
          <c:orientation val="minMax"/>
          <c:max val="1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NPSH3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1741423"/>
        <c:crosses val="max"/>
        <c:crossBetween val="midCat"/>
      </c:valAx>
      <c:valAx>
        <c:axId val="1311741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1738415"/>
        <c:crosses val="autoZero"/>
        <c:crossBetween val="midCat"/>
      </c:valAx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82</xdr:row>
      <xdr:rowOff>12700</xdr:rowOff>
    </xdr:from>
    <xdr:to>
      <xdr:col>10</xdr:col>
      <xdr:colOff>0</xdr:colOff>
      <xdr:row>108</xdr:row>
      <xdr:rowOff>165100</xdr:rowOff>
    </xdr:to>
    <xdr:graphicFrame macro="">
      <xdr:nvGraphicFramePr>
        <xdr:cNvPr id="2" name="Performance B-171">
          <a:extLst>
            <a:ext uri="{FF2B5EF4-FFF2-40B4-BE49-F238E27FC236}">
              <a16:creationId xmlns:a16="http://schemas.microsoft.com/office/drawing/2014/main" id="{E248AB4A-F6AD-8B4E-9C4C-1048963231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12700</xdr:colOff>
      <xdr:row>109</xdr:row>
      <xdr:rowOff>0</xdr:rowOff>
    </xdr:from>
    <xdr:to>
      <xdr:col>10</xdr:col>
      <xdr:colOff>0</xdr:colOff>
      <xdr:row>129</xdr:row>
      <xdr:rowOff>165100</xdr:rowOff>
    </xdr:to>
    <xdr:graphicFrame macro="">
      <xdr:nvGraphicFramePr>
        <xdr:cNvPr id="3" name="Efficiency B-171">
          <a:extLst>
            <a:ext uri="{FF2B5EF4-FFF2-40B4-BE49-F238E27FC236}">
              <a16:creationId xmlns:a16="http://schemas.microsoft.com/office/drawing/2014/main" id="{F0ABF194-ED6E-014A-B0C3-5B762F67AB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4149B-9ED0-2A4E-A469-6F62D5E2E027}">
  <sheetPr codeName="Sheet1"/>
  <dimension ref="B8:D13"/>
  <sheetViews>
    <sheetView showGridLines="0" zoomScaleNormal="100" workbookViewId="0">
      <selection activeCell="I14" sqref="I14"/>
    </sheetView>
  </sheetViews>
  <sheetFormatPr baseColWidth="10" defaultRowHeight="16"/>
  <cols>
    <col min="1" max="16384" width="10.83203125" style="2"/>
  </cols>
  <sheetData>
    <row r="8" spans="2:4">
      <c r="B8" s="1" t="s">
        <v>0</v>
      </c>
    </row>
    <row r="9" spans="2:4">
      <c r="C9" s="82"/>
      <c r="D9" s="2" t="s">
        <v>1</v>
      </c>
    </row>
    <row r="11" spans="2:4">
      <c r="C11" s="83"/>
      <c r="D11" s="2" t="s">
        <v>2</v>
      </c>
    </row>
    <row r="13" spans="2:4">
      <c r="C13" s="84"/>
      <c r="D13" s="2" t="s">
        <v>3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EC8F1-1626-A84E-872D-8A5F40B4BA73}">
  <sheetPr codeName="Sheet2"/>
  <dimension ref="B2:G17"/>
  <sheetViews>
    <sheetView showGridLines="0" zoomScale="125" workbookViewId="0">
      <selection activeCell="H16" sqref="H16"/>
    </sheetView>
  </sheetViews>
  <sheetFormatPr baseColWidth="10" defaultRowHeight="13"/>
  <cols>
    <col min="1" max="1" width="3.6640625" customWidth="1"/>
    <col min="2" max="2" width="19.1640625" bestFit="1" customWidth="1"/>
    <col min="3" max="3" width="9.83203125" bestFit="1" customWidth="1"/>
    <col min="4" max="4" width="23.1640625" bestFit="1" customWidth="1"/>
    <col min="5" max="5" width="7.33203125" bestFit="1" customWidth="1"/>
    <col min="6" max="6" width="7.1640625" bestFit="1" customWidth="1"/>
    <col min="7" max="7" width="10" customWidth="1"/>
  </cols>
  <sheetData>
    <row r="2" spans="2:7" ht="17" thickBot="1">
      <c r="B2" s="3" t="s">
        <v>12</v>
      </c>
      <c r="C2" s="3" t="s">
        <v>13</v>
      </c>
      <c r="D2" s="3" t="s">
        <v>14</v>
      </c>
      <c r="E2" s="3" t="s">
        <v>15</v>
      </c>
      <c r="F2" s="3" t="s">
        <v>16</v>
      </c>
      <c r="G2" s="3" t="s">
        <v>17</v>
      </c>
    </row>
    <row r="3" spans="2:7" ht="14" thickTop="1">
      <c r="B3" t="s">
        <v>18</v>
      </c>
      <c r="C3" t="s">
        <v>175</v>
      </c>
      <c r="D3" t="s">
        <v>176</v>
      </c>
      <c r="E3" s="88" t="s">
        <v>177</v>
      </c>
      <c r="F3" s="88" t="s">
        <v>7</v>
      </c>
      <c r="G3" s="86" t="s">
        <v>172</v>
      </c>
    </row>
    <row r="4" spans="2:7">
      <c r="B4" t="s">
        <v>19</v>
      </c>
      <c r="C4" t="s">
        <v>175</v>
      </c>
      <c r="D4" t="s">
        <v>178</v>
      </c>
      <c r="E4" s="88" t="s">
        <v>179</v>
      </c>
      <c r="F4" s="88" t="s">
        <v>7</v>
      </c>
      <c r="G4" s="86" t="s">
        <v>11</v>
      </c>
    </row>
    <row r="5" spans="2:7">
      <c r="B5" t="s">
        <v>20</v>
      </c>
      <c r="C5" t="s">
        <v>175</v>
      </c>
      <c r="D5" t="s">
        <v>180</v>
      </c>
      <c r="E5" s="88" t="s">
        <v>181</v>
      </c>
      <c r="F5" s="88" t="s">
        <v>86</v>
      </c>
      <c r="G5" s="86" t="s">
        <v>173</v>
      </c>
    </row>
    <row r="6" spans="2:7">
      <c r="B6" t="s">
        <v>21</v>
      </c>
      <c r="C6" t="s">
        <v>182</v>
      </c>
      <c r="D6" t="s">
        <v>183</v>
      </c>
      <c r="E6" s="88" t="s">
        <v>184</v>
      </c>
      <c r="F6" s="88" t="s">
        <v>185</v>
      </c>
      <c r="G6" s="87">
        <v>300</v>
      </c>
    </row>
    <row r="7" spans="2:7">
      <c r="B7" t="s">
        <v>22</v>
      </c>
      <c r="C7" t="s">
        <v>182</v>
      </c>
      <c r="D7" t="s">
        <v>186</v>
      </c>
      <c r="E7" s="88" t="s">
        <v>187</v>
      </c>
      <c r="F7" s="88" t="s">
        <v>8</v>
      </c>
      <c r="G7" s="86"/>
    </row>
    <row r="8" spans="2:7">
      <c r="B8" t="s">
        <v>23</v>
      </c>
      <c r="C8" t="s">
        <v>182</v>
      </c>
      <c r="D8" t="s">
        <v>188</v>
      </c>
      <c r="E8" s="88" t="s">
        <v>189</v>
      </c>
      <c r="F8" s="88" t="s">
        <v>9</v>
      </c>
      <c r="G8" s="87"/>
    </row>
    <row r="9" spans="2:7">
      <c r="B9" t="s">
        <v>24</v>
      </c>
      <c r="C9" t="s">
        <v>182</v>
      </c>
      <c r="D9" t="s">
        <v>190</v>
      </c>
      <c r="E9" s="88" t="s">
        <v>191</v>
      </c>
      <c r="F9" s="88" t="s">
        <v>7</v>
      </c>
      <c r="G9" s="86"/>
    </row>
    <row r="10" spans="2:7">
      <c r="B10" t="s">
        <v>25</v>
      </c>
      <c r="C10" t="s">
        <v>182</v>
      </c>
      <c r="D10" t="s">
        <v>192</v>
      </c>
      <c r="E10" s="88" t="s">
        <v>193</v>
      </c>
      <c r="F10" s="88" t="s">
        <v>8</v>
      </c>
      <c r="G10" s="86"/>
    </row>
    <row r="11" spans="2:7">
      <c r="B11" t="s">
        <v>26</v>
      </c>
      <c r="C11" t="s">
        <v>182</v>
      </c>
      <c r="D11" t="s">
        <v>194</v>
      </c>
      <c r="E11" s="88" t="s">
        <v>195</v>
      </c>
      <c r="F11" s="88" t="s">
        <v>65</v>
      </c>
      <c r="G11" s="86">
        <v>3600</v>
      </c>
    </row>
    <row r="12" spans="2:7">
      <c r="B12" t="s">
        <v>27</v>
      </c>
      <c r="C12" t="s">
        <v>182</v>
      </c>
      <c r="D12" t="s">
        <v>196</v>
      </c>
      <c r="E12" s="88" t="s">
        <v>197</v>
      </c>
      <c r="F12" s="88" t="s">
        <v>7</v>
      </c>
      <c r="G12" s="87"/>
    </row>
    <row r="13" spans="2:7">
      <c r="B13" t="s">
        <v>28</v>
      </c>
      <c r="C13" t="s">
        <v>182</v>
      </c>
      <c r="D13" t="s">
        <v>198</v>
      </c>
      <c r="E13" s="88" t="s">
        <v>199</v>
      </c>
      <c r="F13" s="88" t="s">
        <v>200</v>
      </c>
      <c r="G13" s="86"/>
    </row>
    <row r="14" spans="2:7">
      <c r="B14" t="s">
        <v>29</v>
      </c>
      <c r="C14" t="s">
        <v>182</v>
      </c>
      <c r="D14" t="s">
        <v>201</v>
      </c>
      <c r="E14" s="88" t="s">
        <v>202</v>
      </c>
      <c r="F14" s="88" t="s">
        <v>200</v>
      </c>
      <c r="G14" s="86"/>
    </row>
    <row r="15" spans="2:7">
      <c r="B15" t="s">
        <v>30</v>
      </c>
      <c r="C15" t="s">
        <v>182</v>
      </c>
      <c r="D15" t="s">
        <v>203</v>
      </c>
      <c r="E15" s="88" t="s">
        <v>204</v>
      </c>
      <c r="F15" s="88" t="s">
        <v>205</v>
      </c>
      <c r="G15" s="86">
        <v>450</v>
      </c>
    </row>
    <row r="16" spans="2:7">
      <c r="B16" t="s">
        <v>31</v>
      </c>
      <c r="C16" t="s">
        <v>182</v>
      </c>
      <c r="D16" t="s">
        <v>206</v>
      </c>
      <c r="E16" s="88" t="s">
        <v>207</v>
      </c>
      <c r="F16" s="88" t="s">
        <v>86</v>
      </c>
      <c r="G16" s="87">
        <v>0.7</v>
      </c>
    </row>
    <row r="17" spans="2:7">
      <c r="B17" t="s">
        <v>32</v>
      </c>
      <c r="C17" t="s">
        <v>182</v>
      </c>
      <c r="D17" t="s">
        <v>208</v>
      </c>
      <c r="E17" s="88" t="s">
        <v>209</v>
      </c>
      <c r="F17" s="88" t="s">
        <v>6</v>
      </c>
      <c r="G17" s="87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80F58-E22E-1247-86BB-03A69295ADA8}">
  <sheetPr codeName="Sheet3"/>
  <dimension ref="B1:L131"/>
  <sheetViews>
    <sheetView showGridLines="0" tabSelected="1" topLeftCell="A87" zoomScale="62" zoomScaleNormal="106" zoomScaleSheetLayoutView="84" workbookViewId="0">
      <selection activeCell="M25" sqref="M25"/>
    </sheetView>
  </sheetViews>
  <sheetFormatPr baseColWidth="10" defaultRowHeight="14" customHeight="1"/>
  <cols>
    <col min="1" max="1" width="1.6640625" style="1" customWidth="1"/>
    <col min="2" max="2" width="4" style="4" customWidth="1"/>
    <col min="3" max="3" width="21.5" style="1" customWidth="1"/>
    <col min="4" max="4" width="10" style="1" customWidth="1"/>
    <col min="5" max="10" width="10.6640625" style="1" customWidth="1"/>
    <col min="11" max="11" width="1.83203125" style="1" customWidth="1"/>
    <col min="12" max="16" width="10.83203125" style="1"/>
    <col min="17" max="17" width="18.6640625" style="1" customWidth="1"/>
    <col min="18" max="16384" width="10.83203125" style="1"/>
  </cols>
  <sheetData>
    <row r="1" spans="2:11" ht="14" customHeight="1" thickBot="1"/>
    <row r="2" spans="2:11" ht="14" customHeight="1">
      <c r="B2" s="5"/>
      <c r="C2" s="6"/>
      <c r="D2" s="6"/>
      <c r="E2" s="6"/>
      <c r="F2" s="6"/>
      <c r="G2" s="6"/>
      <c r="H2" s="6"/>
      <c r="I2" s="6"/>
      <c r="J2" s="6"/>
      <c r="K2" s="7"/>
    </row>
    <row r="3" spans="2:11" ht="14" customHeight="1">
      <c r="B3" s="8"/>
      <c r="C3" s="91" t="s">
        <v>33</v>
      </c>
      <c r="D3" s="91"/>
      <c r="E3" s="91"/>
      <c r="F3" s="91"/>
      <c r="G3" s="91"/>
      <c r="H3" s="91"/>
      <c r="I3" s="91"/>
      <c r="J3" s="91"/>
      <c r="K3" s="9"/>
    </row>
    <row r="4" spans="2:11" ht="14" customHeight="1" thickBot="1">
      <c r="B4" s="10"/>
      <c r="C4" s="11"/>
      <c r="D4" s="11"/>
      <c r="E4" s="12"/>
      <c r="F4" s="12"/>
      <c r="G4" s="12"/>
      <c r="H4" s="12"/>
      <c r="I4" s="12"/>
      <c r="J4" s="12"/>
      <c r="K4" s="13"/>
    </row>
    <row r="5" spans="2:11" ht="4" customHeight="1">
      <c r="B5" s="14"/>
      <c r="C5" s="15"/>
      <c r="D5" s="15"/>
      <c r="K5" s="16"/>
    </row>
    <row r="6" spans="2:11" ht="14" customHeight="1">
      <c r="B6" s="17">
        <v>1</v>
      </c>
      <c r="C6" s="18" t="s">
        <v>34</v>
      </c>
      <c r="D6" s="19"/>
      <c r="E6" s="19"/>
      <c r="F6" s="18" t="s">
        <v>35</v>
      </c>
      <c r="G6" s="19"/>
      <c r="H6" s="19"/>
      <c r="I6" s="19"/>
      <c r="J6" s="19"/>
      <c r="K6" s="16"/>
    </row>
    <row r="7" spans="2:11" ht="14" customHeight="1">
      <c r="B7" s="17">
        <f>B6+1</f>
        <v>2</v>
      </c>
      <c r="C7" s="18" t="s">
        <v>36</v>
      </c>
      <c r="D7" s="19"/>
      <c r="E7" s="19"/>
      <c r="F7" s="18" t="s">
        <v>37</v>
      </c>
      <c r="G7" s="19"/>
      <c r="H7" s="19"/>
      <c r="I7" s="19"/>
      <c r="J7" s="19"/>
      <c r="K7" s="16"/>
    </row>
    <row r="8" spans="2:11" ht="14" customHeight="1">
      <c r="B8" s="17">
        <f>B7+1</f>
        <v>3</v>
      </c>
      <c r="C8" s="18" t="s">
        <v>38</v>
      </c>
      <c r="D8" s="19"/>
      <c r="E8" s="19"/>
      <c r="F8" s="18" t="s">
        <v>4</v>
      </c>
      <c r="G8" s="19"/>
      <c r="H8" s="19"/>
      <c r="I8" s="19"/>
      <c r="J8" s="19"/>
      <c r="K8" s="16"/>
    </row>
    <row r="9" spans="2:11" ht="14" customHeight="1">
      <c r="B9" s="17">
        <f>B8+1</f>
        <v>4</v>
      </c>
      <c r="C9" s="18" t="s">
        <v>39</v>
      </c>
      <c r="D9" s="19"/>
      <c r="E9" s="19"/>
      <c r="F9" s="18" t="s">
        <v>40</v>
      </c>
      <c r="G9" s="19"/>
      <c r="H9" s="19"/>
      <c r="I9" s="19"/>
      <c r="J9" s="19"/>
      <c r="K9" s="16"/>
    </row>
    <row r="10" spans="2:11" ht="14" customHeight="1">
      <c r="B10" s="17">
        <f>B9+1</f>
        <v>5</v>
      </c>
      <c r="C10" s="18" t="s">
        <v>41</v>
      </c>
      <c r="D10" s="19"/>
      <c r="E10" s="19"/>
      <c r="F10" s="19"/>
      <c r="G10" s="19"/>
      <c r="H10" s="19"/>
      <c r="I10" s="19"/>
      <c r="J10" s="19"/>
      <c r="K10" s="16"/>
    </row>
    <row r="11" spans="2:11" ht="14" customHeight="1">
      <c r="B11" s="17">
        <f>B10+1</f>
        <v>6</v>
      </c>
      <c r="C11" s="18" t="s">
        <v>42</v>
      </c>
      <c r="D11" s="19"/>
      <c r="E11" s="19"/>
      <c r="F11" s="19"/>
      <c r="G11" s="19"/>
      <c r="H11" s="19"/>
      <c r="I11" s="19"/>
      <c r="J11" s="19"/>
      <c r="K11" s="16"/>
    </row>
    <row r="12" spans="2:11" ht="4" customHeight="1" thickBot="1">
      <c r="B12" s="17">
        <f t="shared" ref="B12:B68" si="0">B11+1</f>
        <v>7</v>
      </c>
      <c r="C12" s="20"/>
      <c r="D12" s="20"/>
      <c r="E12" s="20"/>
      <c r="F12" s="20"/>
      <c r="G12" s="20"/>
      <c r="H12" s="20"/>
      <c r="I12" s="20"/>
      <c r="J12" s="20"/>
      <c r="K12" s="13"/>
    </row>
    <row r="13" spans="2:11" ht="14" customHeight="1" thickBot="1">
      <c r="B13" s="17">
        <f t="shared" si="0"/>
        <v>8</v>
      </c>
      <c r="C13" s="21" t="s">
        <v>43</v>
      </c>
      <c r="D13" s="22"/>
      <c r="E13" s="22"/>
      <c r="F13" s="22"/>
      <c r="G13" s="23"/>
      <c r="H13" s="23"/>
      <c r="I13" s="23"/>
      <c r="J13" s="23"/>
      <c r="K13" s="24"/>
    </row>
    <row r="14" spans="2:11" ht="14" customHeight="1">
      <c r="B14" s="17">
        <f t="shared" si="0"/>
        <v>9</v>
      </c>
      <c r="C14" s="92" t="s">
        <v>44</v>
      </c>
      <c r="D14" s="93"/>
      <c r="E14" s="25" t="s">
        <v>16</v>
      </c>
      <c r="F14" s="26" t="s">
        <v>17</v>
      </c>
      <c r="G14" s="19"/>
      <c r="H14" s="19"/>
      <c r="I14" s="19"/>
      <c r="J14" s="19"/>
      <c r="K14" s="16"/>
    </row>
    <row r="15" spans="2:11" ht="14" customHeight="1">
      <c r="B15" s="17">
        <f t="shared" si="0"/>
        <v>10</v>
      </c>
      <c r="C15" s="27" t="s">
        <v>45</v>
      </c>
      <c r="D15" s="28"/>
      <c r="E15" s="29" t="s">
        <v>7</v>
      </c>
      <c r="F15" s="77">
        <v>0.20319999999999999</v>
      </c>
      <c r="G15" s="19"/>
      <c r="H15" s="19"/>
      <c r="I15" s="19"/>
      <c r="J15" s="19"/>
      <c r="K15" s="16"/>
    </row>
    <row r="16" spans="2:11" ht="14" customHeight="1">
      <c r="B16" s="17">
        <f t="shared" si="0"/>
        <v>11</v>
      </c>
      <c r="C16" s="27" t="s">
        <v>46</v>
      </c>
      <c r="D16" s="28"/>
      <c r="E16" s="29" t="s">
        <v>7</v>
      </c>
      <c r="F16" s="77">
        <v>0.15239999999999998</v>
      </c>
      <c r="G16" s="19"/>
      <c r="H16" s="19"/>
      <c r="I16" s="19"/>
      <c r="J16" s="19"/>
      <c r="K16" s="16"/>
    </row>
    <row r="17" spans="2:11" ht="14" customHeight="1">
      <c r="B17" s="17">
        <f t="shared" si="0"/>
        <v>12</v>
      </c>
      <c r="C17" s="27" t="s">
        <v>47</v>
      </c>
      <c r="D17" s="28"/>
      <c r="E17" s="29" t="s">
        <v>6</v>
      </c>
      <c r="F17" s="85">
        <v>20</v>
      </c>
      <c r="G17" s="19"/>
      <c r="H17" s="19"/>
      <c r="I17" s="19"/>
      <c r="J17" s="19"/>
      <c r="K17" s="16"/>
    </row>
    <row r="18" spans="2:11" ht="14" customHeight="1">
      <c r="B18" s="17">
        <f t="shared" si="0"/>
        <v>13</v>
      </c>
      <c r="C18" s="27" t="s">
        <v>48</v>
      </c>
      <c r="D18" s="28"/>
      <c r="E18" s="29" t="s">
        <v>7</v>
      </c>
      <c r="F18" s="85">
        <v>1</v>
      </c>
      <c r="G18" s="19"/>
      <c r="H18" s="19"/>
      <c r="I18" s="19"/>
      <c r="J18" s="19"/>
      <c r="K18" s="16"/>
    </row>
    <row r="19" spans="2:11" ht="14" customHeight="1">
      <c r="B19" s="17">
        <f t="shared" si="0"/>
        <v>14</v>
      </c>
      <c r="C19" s="27" t="s">
        <v>49</v>
      </c>
      <c r="D19" s="28"/>
      <c r="E19" s="29" t="s">
        <v>7</v>
      </c>
      <c r="F19" s="85">
        <v>2.2000000000000002</v>
      </c>
      <c r="G19" s="19"/>
      <c r="H19" s="19"/>
      <c r="I19" s="19"/>
      <c r="J19" s="19"/>
      <c r="K19" s="16"/>
    </row>
    <row r="20" spans="2:11" ht="14" customHeight="1">
      <c r="B20" s="17">
        <f t="shared" si="0"/>
        <v>15</v>
      </c>
      <c r="C20" s="27" t="s">
        <v>50</v>
      </c>
      <c r="D20" s="28"/>
      <c r="E20" s="29" t="s">
        <v>7</v>
      </c>
      <c r="F20" s="85">
        <v>0</v>
      </c>
      <c r="G20" s="19"/>
      <c r="H20" s="19"/>
      <c r="I20" s="19"/>
      <c r="J20" s="19"/>
      <c r="K20" s="16"/>
    </row>
    <row r="21" spans="2:11" ht="14" customHeight="1">
      <c r="B21" s="17">
        <f t="shared" si="0"/>
        <v>16</v>
      </c>
      <c r="C21" s="27" t="s">
        <v>51</v>
      </c>
      <c r="D21" s="28"/>
      <c r="E21" s="29" t="s">
        <v>7</v>
      </c>
      <c r="F21" s="85">
        <v>0</v>
      </c>
      <c r="G21" s="19"/>
      <c r="H21" s="19"/>
      <c r="I21" s="19"/>
      <c r="J21" s="19"/>
      <c r="K21" s="16"/>
    </row>
    <row r="22" spans="2:11" ht="10" customHeight="1" thickBot="1">
      <c r="B22" s="17">
        <f t="shared" si="0"/>
        <v>17</v>
      </c>
      <c r="C22" s="19"/>
      <c r="D22" s="19"/>
      <c r="E22" s="19"/>
      <c r="F22" s="19"/>
      <c r="G22" s="19"/>
      <c r="H22" s="19"/>
      <c r="I22" s="19"/>
      <c r="J22" s="19"/>
      <c r="K22" s="16"/>
    </row>
    <row r="23" spans="2:11" ht="14" customHeight="1" thickBot="1">
      <c r="B23" s="17">
        <f t="shared" si="0"/>
        <v>18</v>
      </c>
      <c r="C23" s="31" t="s">
        <v>52</v>
      </c>
      <c r="D23" s="32"/>
      <c r="E23" s="23"/>
      <c r="F23" s="23"/>
      <c r="G23" s="23"/>
      <c r="H23" s="23"/>
      <c r="I23" s="23"/>
      <c r="J23" s="23"/>
      <c r="K23" s="24"/>
    </row>
    <row r="24" spans="2:11" ht="14" customHeight="1">
      <c r="B24" s="17">
        <f t="shared" si="0"/>
        <v>19</v>
      </c>
      <c r="C24" s="22"/>
      <c r="D24" s="33"/>
      <c r="E24" s="33"/>
      <c r="F24" s="94" t="s">
        <v>53</v>
      </c>
      <c r="G24" s="94"/>
      <c r="H24" s="94" t="s">
        <v>54</v>
      </c>
      <c r="I24" s="94"/>
      <c r="J24" s="22"/>
      <c r="K24" s="7"/>
    </row>
    <row r="25" spans="2:11" ht="14" customHeight="1">
      <c r="B25" s="17">
        <f t="shared" si="0"/>
        <v>20</v>
      </c>
      <c r="C25" s="34" t="s">
        <v>44</v>
      </c>
      <c r="D25" s="25" t="s">
        <v>16</v>
      </c>
      <c r="E25" s="25" t="s">
        <v>5</v>
      </c>
      <c r="F25" s="25" t="s">
        <v>55</v>
      </c>
      <c r="G25" s="25" t="s">
        <v>56</v>
      </c>
      <c r="H25" s="35" t="s">
        <v>55</v>
      </c>
      <c r="I25" s="35" t="s">
        <v>56</v>
      </c>
      <c r="J25" s="25" t="s">
        <v>57</v>
      </c>
      <c r="K25" s="36"/>
    </row>
    <row r="26" spans="2:11" ht="14" customHeight="1">
      <c r="B26" s="17">
        <f t="shared" si="0"/>
        <v>21</v>
      </c>
      <c r="C26" s="37" t="s">
        <v>58</v>
      </c>
      <c r="D26" s="29" t="s">
        <v>59</v>
      </c>
      <c r="E26" s="30"/>
      <c r="F26" s="30"/>
      <c r="G26" s="30"/>
      <c r="H26" s="30"/>
      <c r="I26" s="30"/>
      <c r="J26" s="30"/>
      <c r="K26" s="16"/>
    </row>
    <row r="27" spans="2:11" ht="14" customHeight="1">
      <c r="B27" s="17">
        <f t="shared" si="0"/>
        <v>22</v>
      </c>
      <c r="C27" s="37" t="s">
        <v>60</v>
      </c>
      <c r="D27" s="29" t="s">
        <v>7</v>
      </c>
      <c r="E27" s="30"/>
      <c r="F27" s="30"/>
      <c r="G27" s="30"/>
      <c r="H27" s="30"/>
      <c r="I27" s="30"/>
      <c r="J27" s="30"/>
      <c r="K27" s="16"/>
    </row>
    <row r="28" spans="2:11" ht="14" customHeight="1">
      <c r="B28" s="17">
        <f t="shared" si="0"/>
        <v>23</v>
      </c>
      <c r="C28" s="37" t="s">
        <v>61</v>
      </c>
      <c r="D28" s="29" t="s">
        <v>8</v>
      </c>
      <c r="E28" s="30"/>
      <c r="F28" s="30"/>
      <c r="G28" s="30"/>
      <c r="H28" s="30"/>
      <c r="I28" s="30"/>
      <c r="J28" s="30"/>
      <c r="K28" s="16"/>
    </row>
    <row r="29" spans="2:11" ht="14" customHeight="1">
      <c r="B29" s="17">
        <f t="shared" si="0"/>
        <v>24</v>
      </c>
      <c r="C29" s="37" t="s">
        <v>62</v>
      </c>
      <c r="D29" s="29" t="s">
        <v>7</v>
      </c>
      <c r="E29" s="30"/>
      <c r="F29" s="30"/>
      <c r="G29" s="30"/>
      <c r="H29" s="30"/>
      <c r="I29" s="30"/>
      <c r="J29" s="30"/>
      <c r="K29" s="16"/>
    </row>
    <row r="30" spans="2:11" ht="14" customHeight="1">
      <c r="B30" s="17">
        <f t="shared" si="0"/>
        <v>25</v>
      </c>
      <c r="C30" s="37" t="s">
        <v>63</v>
      </c>
      <c r="D30" s="29" t="s">
        <v>7</v>
      </c>
      <c r="E30" s="30"/>
      <c r="F30" s="30"/>
      <c r="G30" s="30"/>
      <c r="H30" s="30"/>
      <c r="I30" s="30"/>
      <c r="J30" s="30"/>
      <c r="K30" s="16"/>
    </row>
    <row r="31" spans="2:11" ht="14" customHeight="1">
      <c r="B31" s="17">
        <f t="shared" si="0"/>
        <v>26</v>
      </c>
      <c r="C31" s="37" t="s">
        <v>64</v>
      </c>
      <c r="D31" s="29" t="s">
        <v>65</v>
      </c>
      <c r="E31" s="30"/>
      <c r="F31" s="30"/>
      <c r="G31" s="30"/>
      <c r="H31" s="30"/>
      <c r="I31" s="30"/>
      <c r="J31" s="30"/>
      <c r="K31" s="16"/>
    </row>
    <row r="32" spans="2:11" ht="10" customHeight="1" thickBot="1">
      <c r="B32" s="17">
        <f t="shared" si="0"/>
        <v>27</v>
      </c>
      <c r="C32" s="38"/>
      <c r="D32" s="20"/>
      <c r="E32" s="20"/>
      <c r="F32" s="20"/>
      <c r="G32" s="20"/>
      <c r="H32" s="20"/>
      <c r="I32" s="20"/>
      <c r="J32" s="20"/>
      <c r="K32" s="13"/>
    </row>
    <row r="33" spans="2:12" ht="14" customHeight="1" thickBot="1">
      <c r="B33" s="17">
        <f t="shared" si="0"/>
        <v>28</v>
      </c>
      <c r="C33" s="39" t="s">
        <v>66</v>
      </c>
      <c r="D33" s="32"/>
      <c r="E33" s="23"/>
      <c r="F33" s="23"/>
      <c r="G33" s="23"/>
      <c r="H33" s="23"/>
      <c r="I33" s="23"/>
      <c r="J33" s="23"/>
      <c r="K33" s="24"/>
    </row>
    <row r="34" spans="2:12" ht="22">
      <c r="B34" s="17">
        <f t="shared" si="0"/>
        <v>29</v>
      </c>
      <c r="C34" s="40" t="s">
        <v>44</v>
      </c>
      <c r="D34" s="41" t="s">
        <v>67</v>
      </c>
      <c r="E34" s="42" t="s">
        <v>68</v>
      </c>
      <c r="F34" s="42" t="s">
        <v>69</v>
      </c>
      <c r="G34" s="43" t="s">
        <v>70</v>
      </c>
      <c r="H34" s="43" t="s">
        <v>5</v>
      </c>
      <c r="I34" s="43" t="s">
        <v>71</v>
      </c>
      <c r="J34" s="43" t="s">
        <v>72</v>
      </c>
      <c r="K34" s="44"/>
    </row>
    <row r="35" spans="2:12" ht="14" customHeight="1">
      <c r="B35" s="17">
        <f t="shared" si="0"/>
        <v>30</v>
      </c>
      <c r="C35" s="45" t="s">
        <v>73</v>
      </c>
      <c r="D35" s="19"/>
      <c r="E35" s="19"/>
      <c r="F35" s="19"/>
      <c r="G35" s="19"/>
      <c r="H35" s="19"/>
      <c r="I35" s="19"/>
      <c r="J35" s="19"/>
      <c r="K35" s="16"/>
    </row>
    <row r="36" spans="2:12" ht="14" customHeight="1">
      <c r="B36" s="17">
        <f t="shared" si="0"/>
        <v>31</v>
      </c>
      <c r="C36" s="46" t="s">
        <v>74</v>
      </c>
      <c r="D36" s="30"/>
      <c r="E36" s="30"/>
      <c r="F36" s="30"/>
      <c r="G36" s="30"/>
      <c r="H36" s="30"/>
      <c r="I36" s="30"/>
      <c r="J36" s="30"/>
      <c r="K36" s="16"/>
    </row>
    <row r="37" spans="2:12" ht="14" customHeight="1">
      <c r="B37" s="17">
        <f t="shared" si="0"/>
        <v>32</v>
      </c>
      <c r="C37" s="46" t="s">
        <v>75</v>
      </c>
      <c r="D37" s="30"/>
      <c r="E37" s="30"/>
      <c r="F37" s="30"/>
      <c r="G37" s="30"/>
      <c r="H37" s="30"/>
      <c r="I37" s="30"/>
      <c r="J37" s="30"/>
      <c r="K37" s="16"/>
    </row>
    <row r="38" spans="2:12" ht="14" customHeight="1">
      <c r="B38" s="17">
        <f t="shared" si="0"/>
        <v>33</v>
      </c>
      <c r="C38" s="46" t="s">
        <v>76</v>
      </c>
      <c r="D38" s="30"/>
      <c r="E38" s="30"/>
      <c r="F38" s="30"/>
      <c r="G38" s="30"/>
      <c r="H38" s="30"/>
      <c r="I38" s="30"/>
      <c r="J38" s="30"/>
      <c r="K38" s="16"/>
    </row>
    <row r="39" spans="2:12" ht="14" customHeight="1">
      <c r="B39" s="17">
        <f t="shared" si="0"/>
        <v>34</v>
      </c>
      <c r="C39" s="46" t="s">
        <v>77</v>
      </c>
      <c r="D39" s="30"/>
      <c r="E39" s="30"/>
      <c r="F39" s="30"/>
      <c r="G39" s="30"/>
      <c r="H39" s="30"/>
      <c r="I39" s="30"/>
      <c r="J39" s="30"/>
      <c r="K39" s="16"/>
    </row>
    <row r="40" spans="2:12" ht="14" customHeight="1">
      <c r="B40" s="17">
        <f t="shared" si="0"/>
        <v>35</v>
      </c>
      <c r="C40" s="45" t="s">
        <v>78</v>
      </c>
      <c r="D40" s="19"/>
      <c r="E40" s="19"/>
      <c r="F40" s="19"/>
      <c r="G40" s="19"/>
      <c r="H40" s="19"/>
      <c r="I40" s="19"/>
      <c r="J40" s="19"/>
      <c r="K40" s="16"/>
    </row>
    <row r="41" spans="2:12" ht="14" customHeight="1">
      <c r="B41" s="17">
        <f t="shared" si="0"/>
        <v>36</v>
      </c>
      <c r="C41" s="46" t="s">
        <v>74</v>
      </c>
      <c r="D41" s="30"/>
      <c r="E41" s="30"/>
      <c r="F41" s="30"/>
      <c r="G41" s="30"/>
      <c r="H41" s="30"/>
      <c r="I41" s="30"/>
      <c r="J41" s="30"/>
      <c r="K41" s="16"/>
    </row>
    <row r="42" spans="2:12" ht="14" customHeight="1">
      <c r="B42" s="17">
        <f t="shared" si="0"/>
        <v>37</v>
      </c>
      <c r="C42" s="46" t="s">
        <v>75</v>
      </c>
      <c r="D42" s="30"/>
      <c r="E42" s="30"/>
      <c r="F42" s="30"/>
      <c r="G42" s="30"/>
      <c r="H42" s="30"/>
      <c r="I42" s="30"/>
      <c r="J42" s="30"/>
      <c r="K42" s="16"/>
    </row>
    <row r="43" spans="2:12" ht="14" customHeight="1">
      <c r="B43" s="17">
        <f t="shared" si="0"/>
        <v>38</v>
      </c>
      <c r="C43" s="46" t="s">
        <v>76</v>
      </c>
      <c r="D43" s="30"/>
      <c r="E43" s="30"/>
      <c r="F43" s="30"/>
      <c r="G43" s="30"/>
      <c r="H43" s="30"/>
      <c r="I43" s="30"/>
      <c r="J43" s="30"/>
      <c r="K43" s="16"/>
    </row>
    <row r="44" spans="2:12" ht="14" customHeight="1">
      <c r="B44" s="17">
        <f t="shared" si="0"/>
        <v>39</v>
      </c>
      <c r="C44" s="46" t="s">
        <v>77</v>
      </c>
      <c r="D44" s="30"/>
      <c r="E44" s="30"/>
      <c r="F44" s="30"/>
      <c r="G44" s="30"/>
      <c r="H44" s="30"/>
      <c r="I44" s="30"/>
      <c r="J44" s="30"/>
      <c r="K44" s="16"/>
    </row>
    <row r="45" spans="2:12" ht="10" customHeight="1" thickBot="1">
      <c r="B45" s="17">
        <f t="shared" si="0"/>
        <v>40</v>
      </c>
      <c r="C45" s="47"/>
      <c r="D45" s="20"/>
      <c r="E45" s="20"/>
      <c r="F45" s="20"/>
      <c r="G45" s="20"/>
      <c r="H45" s="20"/>
      <c r="I45" s="20"/>
      <c r="J45" s="20"/>
      <c r="K45" s="13"/>
    </row>
    <row r="46" spans="2:12" ht="14" customHeight="1" thickBot="1">
      <c r="B46" s="17">
        <f t="shared" si="0"/>
        <v>41</v>
      </c>
      <c r="C46" s="48" t="s">
        <v>79</v>
      </c>
      <c r="D46" s="49"/>
      <c r="E46" s="23"/>
      <c r="F46" s="23"/>
      <c r="G46" s="23"/>
      <c r="H46" s="23"/>
      <c r="I46" s="23"/>
      <c r="J46" s="23"/>
      <c r="K46" s="24"/>
    </row>
    <row r="47" spans="2:12" ht="22">
      <c r="B47" s="17">
        <f t="shared" si="0"/>
        <v>42</v>
      </c>
      <c r="C47" s="40" t="s">
        <v>44</v>
      </c>
      <c r="D47" s="41" t="s">
        <v>67</v>
      </c>
      <c r="E47" s="42" t="s">
        <v>68</v>
      </c>
      <c r="F47" s="42" t="s">
        <v>69</v>
      </c>
      <c r="G47" s="43" t="s">
        <v>70</v>
      </c>
      <c r="H47" s="43" t="s">
        <v>5</v>
      </c>
      <c r="I47" s="43" t="s">
        <v>71</v>
      </c>
      <c r="J47" s="43" t="s">
        <v>72</v>
      </c>
      <c r="K47" s="44"/>
      <c r="L47" s="50"/>
    </row>
    <row r="48" spans="2:12" ht="14" customHeight="1">
      <c r="B48" s="17">
        <f t="shared" si="0"/>
        <v>43</v>
      </c>
      <c r="C48" s="51" t="s">
        <v>58</v>
      </c>
      <c r="D48" s="29" t="s">
        <v>59</v>
      </c>
      <c r="E48" s="80">
        <v>0</v>
      </c>
      <c r="F48" s="80">
        <v>169</v>
      </c>
      <c r="G48" s="80">
        <v>298</v>
      </c>
      <c r="H48" s="80">
        <v>427</v>
      </c>
      <c r="I48" s="80">
        <v>571</v>
      </c>
      <c r="J48" s="80">
        <v>696</v>
      </c>
      <c r="K48" s="16"/>
    </row>
    <row r="49" spans="2:12" ht="14" customHeight="1">
      <c r="B49" s="17">
        <f t="shared" si="0"/>
        <v>44</v>
      </c>
      <c r="C49" s="51" t="s">
        <v>80</v>
      </c>
      <c r="D49" s="52" t="s">
        <v>81</v>
      </c>
      <c r="E49" s="80">
        <v>-0.15</v>
      </c>
      <c r="F49" s="80">
        <v>-0.15</v>
      </c>
      <c r="G49" s="80">
        <v>-0.2</v>
      </c>
      <c r="H49" s="80">
        <v>-0.3</v>
      </c>
      <c r="I49" s="80">
        <v>-0.45</v>
      </c>
      <c r="J49" s="80">
        <v>-0.6</v>
      </c>
      <c r="K49" s="16"/>
    </row>
    <row r="50" spans="2:12" ht="14" customHeight="1">
      <c r="B50" s="17">
        <f t="shared" si="0"/>
        <v>45</v>
      </c>
      <c r="C50" s="51" t="s">
        <v>82</v>
      </c>
      <c r="D50" s="52" t="s">
        <v>81</v>
      </c>
      <c r="E50" s="80">
        <v>10.196999999999999</v>
      </c>
      <c r="F50" s="80">
        <v>10.196999999999999</v>
      </c>
      <c r="G50" s="80">
        <v>9.8000000000000007</v>
      </c>
      <c r="H50" s="80">
        <v>9.1980000000000004</v>
      </c>
      <c r="I50" s="80">
        <v>7.6</v>
      </c>
      <c r="J50" s="80">
        <v>5.9960000000000004</v>
      </c>
      <c r="K50" s="16"/>
    </row>
    <row r="51" spans="2:12" ht="14" customHeight="1">
      <c r="B51" s="17">
        <f t="shared" si="0"/>
        <v>46</v>
      </c>
      <c r="C51" s="51" t="s">
        <v>60</v>
      </c>
      <c r="D51" s="52" t="s">
        <v>7</v>
      </c>
      <c r="E51" s="78">
        <v>105.08394572249625</v>
      </c>
      <c r="F51" s="78">
        <v>105.31469898886016</v>
      </c>
      <c r="G51" s="78">
        <v>102.3175388542214</v>
      </c>
      <c r="H51" s="78">
        <v>98.033073439368692</v>
      </c>
      <c r="I51" s="78">
        <v>84.656238510860561</v>
      </c>
      <c r="J51" s="78">
        <v>71.337630514749918</v>
      </c>
      <c r="K51" s="16"/>
    </row>
    <row r="52" spans="2:12" ht="14" customHeight="1">
      <c r="B52" s="17">
        <f t="shared" si="0"/>
        <v>47</v>
      </c>
      <c r="C52" s="51" t="s">
        <v>83</v>
      </c>
      <c r="D52" s="52" t="s">
        <v>8</v>
      </c>
      <c r="E52" s="80">
        <v>55</v>
      </c>
      <c r="F52" s="80">
        <v>96</v>
      </c>
      <c r="G52" s="80">
        <v>120</v>
      </c>
      <c r="H52" s="80">
        <v>143</v>
      </c>
      <c r="I52" s="80">
        <v>166</v>
      </c>
      <c r="J52" s="80">
        <v>186</v>
      </c>
      <c r="K52" s="16"/>
    </row>
    <row r="53" spans="2:12" ht="14" customHeight="1">
      <c r="B53" s="17">
        <f t="shared" si="0"/>
        <v>48</v>
      </c>
      <c r="C53" s="51" t="s">
        <v>10</v>
      </c>
      <c r="D53" s="52" t="s">
        <v>9</v>
      </c>
      <c r="E53" s="78">
        <v>0</v>
      </c>
      <c r="F53" s="78">
        <v>50.268282805297503</v>
      </c>
      <c r="G53" s="78">
        <v>68.892935532864698</v>
      </c>
      <c r="H53" s="78">
        <v>79.369572909145006</v>
      </c>
      <c r="I53" s="78">
        <v>78.954443230934686</v>
      </c>
      <c r="J53" s="78">
        <v>72.377664131238348</v>
      </c>
      <c r="K53" s="16"/>
    </row>
    <row r="54" spans="2:12" ht="14" customHeight="1">
      <c r="B54" s="17">
        <f t="shared" si="0"/>
        <v>49</v>
      </c>
      <c r="C54" s="51" t="s">
        <v>64</v>
      </c>
      <c r="D54" s="52" t="s">
        <v>65</v>
      </c>
      <c r="E54" s="81">
        <v>3775</v>
      </c>
      <c r="F54" s="81">
        <v>3775</v>
      </c>
      <c r="G54" s="81">
        <v>3775</v>
      </c>
      <c r="H54" s="81">
        <v>3775</v>
      </c>
      <c r="I54" s="81">
        <v>3775</v>
      </c>
      <c r="J54" s="81">
        <v>3775</v>
      </c>
      <c r="K54" s="16"/>
    </row>
    <row r="55" spans="2:12" ht="14" customHeight="1">
      <c r="B55" s="17">
        <f t="shared" si="0"/>
        <v>50</v>
      </c>
      <c r="C55" s="51" t="s">
        <v>62</v>
      </c>
      <c r="D55" s="29" t="s">
        <v>7</v>
      </c>
      <c r="E55" s="80">
        <v>0</v>
      </c>
      <c r="F55" s="80">
        <v>3.1</v>
      </c>
      <c r="G55" s="80">
        <v>2.2000000000000002</v>
      </c>
      <c r="H55" s="80">
        <v>2</v>
      </c>
      <c r="I55" s="80">
        <v>2</v>
      </c>
      <c r="J55" s="80">
        <v>3</v>
      </c>
      <c r="K55" s="16"/>
    </row>
    <row r="56" spans="2:12" ht="10" customHeight="1" thickBot="1">
      <c r="B56" s="17">
        <f t="shared" si="0"/>
        <v>51</v>
      </c>
      <c r="C56" s="53"/>
      <c r="D56" s="20"/>
      <c r="E56" s="20"/>
      <c r="F56" s="20"/>
      <c r="G56" s="20"/>
      <c r="H56" s="20"/>
      <c r="I56" s="20"/>
      <c r="J56" s="20"/>
      <c r="K56" s="13"/>
    </row>
    <row r="57" spans="2:12" ht="14" customHeight="1" thickBot="1">
      <c r="B57" s="17">
        <f t="shared" si="0"/>
        <v>52</v>
      </c>
      <c r="C57" s="48" t="s">
        <v>84</v>
      </c>
      <c r="D57" s="49"/>
      <c r="E57" s="23"/>
      <c r="F57" s="23"/>
      <c r="G57" s="23"/>
      <c r="H57" s="23"/>
      <c r="I57" s="23"/>
      <c r="J57" s="23"/>
      <c r="K57" s="24"/>
    </row>
    <row r="58" spans="2:12" ht="22">
      <c r="B58" s="17">
        <f t="shared" si="0"/>
        <v>53</v>
      </c>
      <c r="C58" s="40" t="s">
        <v>44</v>
      </c>
      <c r="D58" s="41" t="s">
        <v>67</v>
      </c>
      <c r="E58" s="42" t="s">
        <v>68</v>
      </c>
      <c r="F58" s="42" t="s">
        <v>69</v>
      </c>
      <c r="G58" s="43" t="s">
        <v>70</v>
      </c>
      <c r="H58" s="43" t="s">
        <v>5</v>
      </c>
      <c r="I58" s="43" t="s">
        <v>71</v>
      </c>
      <c r="J58" s="43" t="s">
        <v>72</v>
      </c>
      <c r="K58" s="44"/>
      <c r="L58" s="50"/>
    </row>
    <row r="59" spans="2:12" ht="14" customHeight="1">
      <c r="B59" s="17">
        <f t="shared" si="0"/>
        <v>54</v>
      </c>
      <c r="C59" s="51" t="s">
        <v>58</v>
      </c>
      <c r="D59" s="29" t="s">
        <v>59</v>
      </c>
      <c r="E59" s="78">
        <v>0</v>
      </c>
      <c r="F59" s="78">
        <v>151.29029535796391</v>
      </c>
      <c r="G59" s="78">
        <v>266.77223678504879</v>
      </c>
      <c r="H59" s="78">
        <v>382.2541782121337</v>
      </c>
      <c r="I59" s="78">
        <v>511.1642523632982</v>
      </c>
      <c r="J59" s="78">
        <v>623.0653583972952</v>
      </c>
      <c r="K59" s="16"/>
    </row>
    <row r="60" spans="2:12" ht="14" customHeight="1">
      <c r="B60" s="17">
        <f t="shared" si="0"/>
        <v>55</v>
      </c>
      <c r="C60" s="51" t="s">
        <v>60</v>
      </c>
      <c r="D60" s="52" t="s">
        <v>7</v>
      </c>
      <c r="E60" s="78">
        <v>95.566891737278283</v>
      </c>
      <c r="F60" s="78">
        <v>93.28073088297856</v>
      </c>
      <c r="G60" s="78">
        <v>89.340330161685699</v>
      </c>
      <c r="H60" s="78">
        <v>84.498334573825758</v>
      </c>
      <c r="I60" s="78">
        <v>71.989136951661337</v>
      </c>
      <c r="J60" s="78">
        <v>59.988990589667843</v>
      </c>
      <c r="K60" s="16"/>
    </row>
    <row r="61" spans="2:12" ht="14" customHeight="1">
      <c r="B61" s="17">
        <f t="shared" si="0"/>
        <v>56</v>
      </c>
      <c r="C61" s="51" t="s">
        <v>83</v>
      </c>
      <c r="D61" s="52" t="s">
        <v>8</v>
      </c>
      <c r="E61" s="78">
        <v>33.390072644077712</v>
      </c>
      <c r="F61" s="78">
        <v>72.313561247375802</v>
      </c>
      <c r="G61" s="78">
        <v>89.109556349226324</v>
      </c>
      <c r="H61" s="78">
        <v>104.82313293671</v>
      </c>
      <c r="I61" s="78">
        <v>120.04985909812896</v>
      </c>
      <c r="J61" s="78">
        <v>133.01829774002456</v>
      </c>
      <c r="K61" s="16"/>
    </row>
    <row r="62" spans="2:12" ht="14" customHeight="1">
      <c r="B62" s="17">
        <f t="shared" si="0"/>
        <v>57</v>
      </c>
      <c r="C62" s="51" t="s">
        <v>10</v>
      </c>
      <c r="D62" s="52" t="s">
        <v>9</v>
      </c>
      <c r="E62" s="78">
        <v>0</v>
      </c>
      <c r="F62" s="78">
        <v>37.223331228939308</v>
      </c>
      <c r="G62" s="78">
        <v>51.014763496228568</v>
      </c>
      <c r="H62" s="78">
        <v>58.77264424049919</v>
      </c>
      <c r="I62" s="78">
        <v>58.465243457089947</v>
      </c>
      <c r="J62" s="78">
        <v>53.595181995158271</v>
      </c>
      <c r="K62" s="16"/>
    </row>
    <row r="63" spans="2:12" ht="14" customHeight="1">
      <c r="B63" s="17">
        <f t="shared" si="0"/>
        <v>58</v>
      </c>
      <c r="C63" s="51" t="s">
        <v>64</v>
      </c>
      <c r="D63" s="52" t="s">
        <v>65</v>
      </c>
      <c r="E63" s="79">
        <v>3600</v>
      </c>
      <c r="F63" s="79">
        <v>3600</v>
      </c>
      <c r="G63" s="79">
        <v>3600</v>
      </c>
      <c r="H63" s="79">
        <v>3600</v>
      </c>
      <c r="I63" s="79">
        <v>3600</v>
      </c>
      <c r="J63" s="79">
        <v>3600</v>
      </c>
      <c r="K63" s="16"/>
    </row>
    <row r="64" spans="2:12" ht="14" customHeight="1">
      <c r="B64" s="17">
        <f t="shared" si="0"/>
        <v>59</v>
      </c>
      <c r="C64" s="51" t="s">
        <v>62</v>
      </c>
      <c r="D64" s="52" t="s">
        <v>7</v>
      </c>
      <c r="E64" s="78">
        <v>0</v>
      </c>
      <c r="F64" s="78">
        <v>2.8192447699662297</v>
      </c>
      <c r="G64" s="78">
        <v>2.0007543528792597</v>
      </c>
      <c r="H64" s="78">
        <v>1.8188675935265997</v>
      </c>
      <c r="I64" s="78">
        <v>1.8188675935265997</v>
      </c>
      <c r="J64" s="78">
        <v>2.7283013902898996</v>
      </c>
      <c r="K64" s="16"/>
    </row>
    <row r="65" spans="2:11" ht="14" customHeight="1">
      <c r="B65" s="17">
        <f t="shared" si="0"/>
        <v>60</v>
      </c>
      <c r="C65" s="51" t="s">
        <v>85</v>
      </c>
      <c r="D65" s="29" t="s">
        <v>86</v>
      </c>
      <c r="E65" s="78">
        <v>1</v>
      </c>
      <c r="F65" s="78">
        <v>0.93872594506297469</v>
      </c>
      <c r="G65" s="78">
        <v>0.93872594506297469</v>
      </c>
      <c r="H65" s="78">
        <v>0.93872594506297469</v>
      </c>
      <c r="I65" s="78">
        <v>0.93872594506297469</v>
      </c>
      <c r="J65" s="78">
        <v>0.93872594506297469</v>
      </c>
      <c r="K65" s="16"/>
    </row>
    <row r="66" spans="2:11" ht="14" customHeight="1">
      <c r="B66" s="17">
        <f t="shared" si="0"/>
        <v>61</v>
      </c>
      <c r="C66" s="51" t="s">
        <v>87</v>
      </c>
      <c r="D66" s="29" t="s">
        <v>86</v>
      </c>
      <c r="E66" s="78">
        <v>1</v>
      </c>
      <c r="F66" s="78">
        <v>0.97393923093875234</v>
      </c>
      <c r="G66" s="78">
        <v>0.96012190557917909</v>
      </c>
      <c r="H66" s="78">
        <v>0.94777323744315622</v>
      </c>
      <c r="I66" s="78">
        <v>0.93505446773277479</v>
      </c>
      <c r="J66" s="78">
        <v>0.92465939055480306</v>
      </c>
      <c r="K66" s="16"/>
    </row>
    <row r="67" spans="2:11" ht="14" customHeight="1">
      <c r="B67" s="17">
        <f t="shared" si="0"/>
        <v>62</v>
      </c>
      <c r="C67" s="51" t="s">
        <v>88</v>
      </c>
      <c r="D67" s="29" t="s">
        <v>86</v>
      </c>
      <c r="E67" s="78">
        <v>1</v>
      </c>
      <c r="F67" s="78">
        <v>0.74049339169024775</v>
      </c>
      <c r="G67" s="78">
        <v>0.74049339169024775</v>
      </c>
      <c r="H67" s="78">
        <v>0.74049339169024775</v>
      </c>
      <c r="I67" s="78">
        <v>0.74049339169024775</v>
      </c>
      <c r="J67" s="78">
        <v>0.74049339169024775</v>
      </c>
      <c r="K67" s="16"/>
    </row>
    <row r="68" spans="2:11" ht="10" customHeight="1" thickBot="1">
      <c r="B68" s="17">
        <f t="shared" si="0"/>
        <v>63</v>
      </c>
      <c r="C68" s="18"/>
      <c r="D68" s="19"/>
      <c r="E68" s="19"/>
      <c r="F68" s="19"/>
      <c r="G68" s="19"/>
      <c r="H68" s="19"/>
      <c r="I68" s="19"/>
      <c r="J68" s="19"/>
      <c r="K68" s="16"/>
    </row>
    <row r="69" spans="2:11" ht="14" customHeight="1" thickBot="1">
      <c r="B69" s="54">
        <v>1</v>
      </c>
      <c r="C69" s="39" t="s">
        <v>89</v>
      </c>
      <c r="D69" s="32"/>
      <c r="E69" s="23"/>
      <c r="F69" s="23"/>
      <c r="G69" s="23"/>
      <c r="H69" s="23"/>
      <c r="I69" s="23"/>
      <c r="J69" s="23"/>
      <c r="K69" s="24"/>
    </row>
    <row r="70" spans="2:11" ht="14" customHeight="1">
      <c r="B70" s="17">
        <f t="shared" ref="B70:B131" si="1">B69+1</f>
        <v>2</v>
      </c>
      <c r="C70" s="55"/>
      <c r="D70" s="55"/>
      <c r="E70" s="22"/>
      <c r="F70" s="22"/>
      <c r="G70" s="22"/>
      <c r="H70" s="22"/>
      <c r="I70" s="22"/>
      <c r="J70" s="22"/>
      <c r="K70" s="7"/>
    </row>
    <row r="71" spans="2:11" ht="14" customHeight="1">
      <c r="B71" s="17">
        <f t="shared" si="1"/>
        <v>3</v>
      </c>
      <c r="C71" s="56" t="s">
        <v>90</v>
      </c>
      <c r="D71" s="19"/>
      <c r="E71" s="19"/>
      <c r="F71" s="19"/>
      <c r="G71" s="56" t="s">
        <v>91</v>
      </c>
      <c r="H71" s="19"/>
      <c r="I71" s="19"/>
      <c r="J71" s="19"/>
      <c r="K71" s="16"/>
    </row>
    <row r="72" spans="2:11" ht="14" customHeight="1">
      <c r="B72" s="17">
        <f t="shared" si="1"/>
        <v>4</v>
      </c>
      <c r="C72" s="57" t="s">
        <v>44</v>
      </c>
      <c r="D72" s="26" t="s">
        <v>16</v>
      </c>
      <c r="E72" s="26" t="s">
        <v>92</v>
      </c>
      <c r="F72" s="19"/>
      <c r="G72" s="95" t="s">
        <v>44</v>
      </c>
      <c r="H72" s="96"/>
      <c r="I72" s="26" t="s">
        <v>16</v>
      </c>
      <c r="J72" s="26" t="s">
        <v>92</v>
      </c>
      <c r="K72" s="16"/>
    </row>
    <row r="73" spans="2:11" ht="14" customHeight="1">
      <c r="B73" s="17">
        <f t="shared" si="1"/>
        <v>5</v>
      </c>
      <c r="C73" s="51" t="s">
        <v>93</v>
      </c>
      <c r="D73" s="30"/>
      <c r="E73" s="30"/>
      <c r="F73" s="19"/>
      <c r="G73" s="89" t="s">
        <v>94</v>
      </c>
      <c r="H73" s="90"/>
      <c r="I73" s="30"/>
      <c r="J73" s="30"/>
      <c r="K73" s="16"/>
    </row>
    <row r="74" spans="2:11" ht="14" customHeight="1">
      <c r="B74" s="17">
        <f t="shared" si="1"/>
        <v>6</v>
      </c>
      <c r="C74" s="51" t="s">
        <v>95</v>
      </c>
      <c r="D74" s="30"/>
      <c r="E74" s="30"/>
      <c r="F74" s="19"/>
      <c r="G74" s="89" t="s">
        <v>95</v>
      </c>
      <c r="H74" s="90"/>
      <c r="I74" s="30"/>
      <c r="J74" s="30"/>
      <c r="K74" s="16"/>
    </row>
    <row r="75" spans="2:11" ht="14" customHeight="1">
      <c r="B75" s="17">
        <f t="shared" si="1"/>
        <v>7</v>
      </c>
      <c r="C75" s="51" t="s">
        <v>96</v>
      </c>
      <c r="D75" s="30"/>
      <c r="E75" s="30"/>
      <c r="F75" s="19"/>
      <c r="G75" s="89" t="s">
        <v>97</v>
      </c>
      <c r="H75" s="90"/>
      <c r="I75" s="30"/>
      <c r="J75" s="30"/>
      <c r="K75" s="16"/>
    </row>
    <row r="76" spans="2:11" ht="14" customHeight="1">
      <c r="B76" s="17">
        <f t="shared" si="1"/>
        <v>8</v>
      </c>
      <c r="C76" s="51" t="s">
        <v>98</v>
      </c>
      <c r="D76" s="30"/>
      <c r="E76" s="30"/>
      <c r="F76" s="19"/>
      <c r="G76" s="19"/>
      <c r="H76" s="19"/>
      <c r="I76" s="19"/>
      <c r="J76" s="19"/>
      <c r="K76" s="16"/>
    </row>
    <row r="77" spans="2:11" ht="14" customHeight="1">
      <c r="B77" s="17">
        <f t="shared" si="1"/>
        <v>9</v>
      </c>
      <c r="C77" s="51" t="s">
        <v>99</v>
      </c>
      <c r="D77" s="30"/>
      <c r="E77" s="30"/>
      <c r="F77" s="19"/>
      <c r="G77" s="19"/>
      <c r="H77" s="19"/>
      <c r="I77" s="19"/>
      <c r="J77" s="19"/>
      <c r="K77" s="16"/>
    </row>
    <row r="78" spans="2:11" ht="14" customHeight="1">
      <c r="B78" s="17">
        <f t="shared" si="1"/>
        <v>10</v>
      </c>
      <c r="C78" s="51" t="s">
        <v>100</v>
      </c>
      <c r="D78" s="30"/>
      <c r="E78" s="30"/>
      <c r="F78" s="19"/>
      <c r="G78" s="19"/>
      <c r="H78" s="19"/>
      <c r="I78" s="19"/>
      <c r="J78" s="19"/>
      <c r="K78" s="16"/>
    </row>
    <row r="79" spans="2:11" ht="14" customHeight="1">
      <c r="B79" s="17">
        <f t="shared" si="1"/>
        <v>11</v>
      </c>
      <c r="C79" s="51" t="s">
        <v>101</v>
      </c>
      <c r="D79" s="30"/>
      <c r="E79" s="30"/>
      <c r="F79" s="19"/>
      <c r="G79" s="19"/>
      <c r="H79" s="19"/>
      <c r="I79" s="19"/>
      <c r="J79" s="19"/>
      <c r="K79" s="16"/>
    </row>
    <row r="80" spans="2:11" ht="14" customHeight="1" thickBot="1">
      <c r="B80" s="17">
        <f t="shared" si="1"/>
        <v>12</v>
      </c>
      <c r="C80" s="20"/>
      <c r="D80" s="20"/>
      <c r="E80" s="20"/>
      <c r="F80" s="20"/>
      <c r="G80" s="20"/>
      <c r="H80" s="20"/>
      <c r="I80" s="20"/>
      <c r="J80" s="20"/>
      <c r="K80" s="13"/>
    </row>
    <row r="81" spans="2:11" ht="14" customHeight="1" thickBot="1">
      <c r="B81" s="17">
        <f t="shared" si="1"/>
        <v>13</v>
      </c>
      <c r="C81" s="58" t="s">
        <v>102</v>
      </c>
      <c r="D81" s="55"/>
      <c r="E81" s="22"/>
      <c r="F81" s="22"/>
      <c r="G81" s="22"/>
      <c r="H81" s="22"/>
      <c r="I81" s="22"/>
      <c r="J81" s="22"/>
      <c r="K81" s="7"/>
    </row>
    <row r="82" spans="2:11" ht="14" customHeight="1">
      <c r="B82" s="59">
        <f t="shared" si="1"/>
        <v>14</v>
      </c>
      <c r="C82" s="60"/>
      <c r="D82" s="22"/>
      <c r="E82" s="22"/>
      <c r="F82" s="22"/>
      <c r="G82" s="22"/>
      <c r="H82" s="22"/>
      <c r="I82" s="22"/>
      <c r="J82" s="22"/>
      <c r="K82" s="7"/>
    </row>
    <row r="83" spans="2:11" ht="14" customHeight="1">
      <c r="B83" s="59">
        <f t="shared" si="1"/>
        <v>15</v>
      </c>
      <c r="C83" s="74"/>
      <c r="D83" s="19"/>
      <c r="E83" s="19"/>
      <c r="F83" s="19"/>
      <c r="G83" s="19"/>
      <c r="H83" s="19"/>
      <c r="I83" s="19"/>
      <c r="J83" s="19"/>
      <c r="K83" s="16"/>
    </row>
    <row r="84" spans="2:11" ht="14" customHeight="1">
      <c r="B84" s="59">
        <f t="shared" si="1"/>
        <v>16</v>
      </c>
      <c r="C84" s="61"/>
      <c r="D84" s="19"/>
      <c r="E84" s="19"/>
      <c r="F84" s="19"/>
      <c r="G84" s="19"/>
      <c r="H84" s="19"/>
      <c r="I84" s="19"/>
      <c r="J84" s="19"/>
      <c r="K84" s="16"/>
    </row>
    <row r="85" spans="2:11" ht="14" customHeight="1">
      <c r="B85" s="59">
        <f t="shared" si="1"/>
        <v>17</v>
      </c>
      <c r="C85" s="61"/>
      <c r="D85" s="19"/>
      <c r="E85" s="19"/>
      <c r="F85" s="19"/>
      <c r="G85" s="19"/>
      <c r="H85" s="19"/>
      <c r="I85" s="19"/>
      <c r="J85" s="19"/>
      <c r="K85" s="16"/>
    </row>
    <row r="86" spans="2:11" ht="14" customHeight="1">
      <c r="B86" s="59">
        <f t="shared" si="1"/>
        <v>18</v>
      </c>
      <c r="C86" s="61"/>
      <c r="D86" s="19"/>
      <c r="E86" s="19"/>
      <c r="F86" s="19"/>
      <c r="G86" s="19"/>
      <c r="H86" s="19"/>
      <c r="I86" s="19"/>
      <c r="J86" s="19"/>
      <c r="K86" s="16"/>
    </row>
    <row r="87" spans="2:11" ht="14" customHeight="1">
      <c r="B87" s="59">
        <f t="shared" si="1"/>
        <v>19</v>
      </c>
      <c r="C87" s="61"/>
      <c r="D87" s="19"/>
      <c r="E87" s="19"/>
      <c r="F87" s="19"/>
      <c r="G87" s="19"/>
      <c r="H87" s="19"/>
      <c r="I87" s="19"/>
      <c r="J87" s="19"/>
      <c r="K87" s="16"/>
    </row>
    <row r="88" spans="2:11" ht="14" customHeight="1">
      <c r="B88" s="59">
        <f t="shared" si="1"/>
        <v>20</v>
      </c>
      <c r="C88" s="61"/>
      <c r="D88" s="19"/>
      <c r="E88" s="19"/>
      <c r="F88" s="19"/>
      <c r="G88" s="19"/>
      <c r="H88" s="19"/>
      <c r="I88" s="19"/>
      <c r="J88" s="19"/>
      <c r="K88" s="16"/>
    </row>
    <row r="89" spans="2:11" ht="14" customHeight="1">
      <c r="B89" s="59">
        <f t="shared" si="1"/>
        <v>21</v>
      </c>
      <c r="C89" s="61"/>
      <c r="D89" s="19"/>
      <c r="E89" s="19"/>
      <c r="F89" s="19"/>
      <c r="G89" s="19"/>
      <c r="H89" s="19"/>
      <c r="I89" s="19"/>
      <c r="J89" s="19"/>
      <c r="K89" s="16"/>
    </row>
    <row r="90" spans="2:11" ht="14" customHeight="1">
      <c r="B90" s="59">
        <f t="shared" si="1"/>
        <v>22</v>
      </c>
      <c r="C90" s="61"/>
      <c r="D90" s="19"/>
      <c r="E90" s="19"/>
      <c r="F90" s="19"/>
      <c r="G90" s="19"/>
      <c r="H90" s="19"/>
      <c r="I90" s="19"/>
      <c r="J90" s="19"/>
      <c r="K90" s="16"/>
    </row>
    <row r="91" spans="2:11" ht="14" customHeight="1">
      <c r="B91" s="59">
        <f t="shared" si="1"/>
        <v>23</v>
      </c>
      <c r="C91" s="61"/>
      <c r="D91" s="19"/>
      <c r="E91" s="19"/>
      <c r="F91" s="19"/>
      <c r="G91" s="19"/>
      <c r="H91" s="19"/>
      <c r="I91" s="19"/>
      <c r="J91" s="19"/>
      <c r="K91" s="16"/>
    </row>
    <row r="92" spans="2:11" ht="14" customHeight="1">
      <c r="B92" s="59">
        <f t="shared" si="1"/>
        <v>24</v>
      </c>
      <c r="C92" s="61"/>
      <c r="D92" s="19"/>
      <c r="E92" s="19"/>
      <c r="F92" s="19"/>
      <c r="G92" s="19"/>
      <c r="H92" s="19"/>
      <c r="I92" s="19"/>
      <c r="J92" s="19"/>
      <c r="K92" s="16"/>
    </row>
    <row r="93" spans="2:11" ht="14" customHeight="1">
      <c r="B93" s="59">
        <f t="shared" si="1"/>
        <v>25</v>
      </c>
      <c r="C93" s="61"/>
      <c r="D93" s="19"/>
      <c r="E93" s="19"/>
      <c r="F93" s="19"/>
      <c r="G93" s="19"/>
      <c r="H93" s="19"/>
      <c r="I93" s="19"/>
      <c r="J93" s="19"/>
      <c r="K93" s="16"/>
    </row>
    <row r="94" spans="2:11" ht="14" customHeight="1">
      <c r="B94" s="59">
        <f t="shared" si="1"/>
        <v>26</v>
      </c>
      <c r="C94" s="61"/>
      <c r="D94" s="19"/>
      <c r="E94" s="19"/>
      <c r="F94" s="19"/>
      <c r="G94" s="19"/>
      <c r="H94" s="19"/>
      <c r="I94" s="19"/>
      <c r="J94" s="19"/>
      <c r="K94" s="16"/>
    </row>
    <row r="95" spans="2:11" ht="14" customHeight="1">
      <c r="B95" s="59">
        <f t="shared" si="1"/>
        <v>27</v>
      </c>
      <c r="C95" s="61"/>
      <c r="D95" s="19"/>
      <c r="E95" s="19"/>
      <c r="F95" s="19"/>
      <c r="G95" s="19"/>
      <c r="H95" s="19"/>
      <c r="I95" s="19"/>
      <c r="J95" s="19"/>
      <c r="K95" s="16"/>
    </row>
    <row r="96" spans="2:11" ht="14" customHeight="1">
      <c r="B96" s="59">
        <f t="shared" si="1"/>
        <v>28</v>
      </c>
      <c r="C96" s="61"/>
      <c r="D96" s="19"/>
      <c r="E96" s="19"/>
      <c r="F96" s="19"/>
      <c r="G96" s="19"/>
      <c r="H96" s="19"/>
      <c r="I96" s="19"/>
      <c r="J96" s="19"/>
      <c r="K96" s="16"/>
    </row>
    <row r="97" spans="2:11" ht="14" customHeight="1">
      <c r="B97" s="59">
        <f t="shared" si="1"/>
        <v>29</v>
      </c>
      <c r="C97" s="61"/>
      <c r="D97" s="19"/>
      <c r="E97" s="19"/>
      <c r="F97" s="19"/>
      <c r="G97" s="19"/>
      <c r="H97" s="19"/>
      <c r="I97" s="19"/>
      <c r="J97" s="19"/>
      <c r="K97" s="16"/>
    </row>
    <row r="98" spans="2:11" ht="14" customHeight="1">
      <c r="B98" s="59">
        <f t="shared" si="1"/>
        <v>30</v>
      </c>
      <c r="C98" s="61"/>
      <c r="D98" s="19"/>
      <c r="E98" s="19"/>
      <c r="F98" s="19"/>
      <c r="G98" s="19"/>
      <c r="H98" s="19"/>
      <c r="I98" s="19"/>
      <c r="J98" s="19"/>
      <c r="K98" s="16"/>
    </row>
    <row r="99" spans="2:11" ht="14" customHeight="1">
      <c r="B99" s="59">
        <f t="shared" si="1"/>
        <v>31</v>
      </c>
      <c r="C99" s="61"/>
      <c r="D99" s="19"/>
      <c r="E99" s="19"/>
      <c r="F99" s="19"/>
      <c r="G99" s="19"/>
      <c r="H99" s="19"/>
      <c r="I99" s="19"/>
      <c r="J99" s="19"/>
      <c r="K99" s="16"/>
    </row>
    <row r="100" spans="2:11" ht="14" customHeight="1">
      <c r="B100" s="59">
        <f t="shared" si="1"/>
        <v>32</v>
      </c>
      <c r="C100" s="61"/>
      <c r="D100" s="19"/>
      <c r="E100" s="19"/>
      <c r="F100" s="19"/>
      <c r="G100" s="19"/>
      <c r="H100" s="19"/>
      <c r="I100" s="19"/>
      <c r="J100" s="19"/>
      <c r="K100" s="16"/>
    </row>
    <row r="101" spans="2:11" ht="14" customHeight="1">
      <c r="B101" s="59">
        <f t="shared" si="1"/>
        <v>33</v>
      </c>
      <c r="C101" s="61"/>
      <c r="D101" s="19"/>
      <c r="E101" s="19"/>
      <c r="F101" s="19"/>
      <c r="G101" s="19"/>
      <c r="H101" s="19"/>
      <c r="I101" s="19"/>
      <c r="J101" s="19"/>
      <c r="K101" s="16"/>
    </row>
    <row r="102" spans="2:11" ht="14" customHeight="1">
      <c r="B102" s="59">
        <f t="shared" si="1"/>
        <v>34</v>
      </c>
      <c r="C102" s="61"/>
      <c r="D102" s="19"/>
      <c r="E102" s="19"/>
      <c r="F102" s="19"/>
      <c r="G102" s="19"/>
      <c r="H102" s="19"/>
      <c r="I102" s="19"/>
      <c r="J102" s="19"/>
      <c r="K102" s="16"/>
    </row>
    <row r="103" spans="2:11" ht="14" customHeight="1">
      <c r="B103" s="59">
        <f t="shared" si="1"/>
        <v>35</v>
      </c>
      <c r="C103" s="61"/>
      <c r="D103" s="19"/>
      <c r="E103" s="19"/>
      <c r="F103" s="19"/>
      <c r="G103" s="19"/>
      <c r="H103" s="19"/>
      <c r="I103" s="19"/>
      <c r="J103" s="19"/>
      <c r="K103" s="16"/>
    </row>
    <row r="104" spans="2:11" ht="14" customHeight="1">
      <c r="B104" s="59">
        <f t="shared" si="1"/>
        <v>36</v>
      </c>
      <c r="C104" s="61"/>
      <c r="D104" s="19"/>
      <c r="E104" s="19"/>
      <c r="F104" s="19"/>
      <c r="G104" s="19"/>
      <c r="H104" s="19"/>
      <c r="I104" s="19"/>
      <c r="J104" s="19"/>
      <c r="K104" s="16"/>
    </row>
    <row r="105" spans="2:11" ht="14" customHeight="1">
      <c r="B105" s="59">
        <f t="shared" si="1"/>
        <v>37</v>
      </c>
      <c r="C105" s="61"/>
      <c r="D105" s="19"/>
      <c r="E105" s="19"/>
      <c r="F105" s="19"/>
      <c r="G105" s="19"/>
      <c r="H105" s="19"/>
      <c r="I105" s="19"/>
      <c r="J105" s="19"/>
      <c r="K105" s="16"/>
    </row>
    <row r="106" spans="2:11" ht="14" customHeight="1">
      <c r="B106" s="59">
        <f t="shared" si="1"/>
        <v>38</v>
      </c>
      <c r="C106" s="61"/>
      <c r="D106" s="19"/>
      <c r="E106" s="19"/>
      <c r="F106" s="19"/>
      <c r="G106" s="19"/>
      <c r="H106" s="19"/>
      <c r="I106" s="19"/>
      <c r="J106" s="19"/>
      <c r="K106" s="16"/>
    </row>
    <row r="107" spans="2:11" ht="14" customHeight="1">
      <c r="B107" s="59">
        <f t="shared" si="1"/>
        <v>39</v>
      </c>
      <c r="C107" s="61"/>
      <c r="D107" s="19"/>
      <c r="E107" s="19"/>
      <c r="F107" s="19"/>
      <c r="G107" s="19"/>
      <c r="H107" s="19"/>
      <c r="I107" s="19"/>
      <c r="J107" s="19"/>
      <c r="K107" s="16"/>
    </row>
    <row r="108" spans="2:11" ht="14" customHeight="1">
      <c r="B108" s="59">
        <f t="shared" si="1"/>
        <v>40</v>
      </c>
      <c r="C108" s="61"/>
      <c r="D108" s="19"/>
      <c r="E108" s="19"/>
      <c r="F108" s="19"/>
      <c r="G108" s="19"/>
      <c r="H108" s="19"/>
      <c r="I108" s="19"/>
      <c r="J108" s="19"/>
      <c r="K108" s="16"/>
    </row>
    <row r="109" spans="2:11" ht="14" customHeight="1">
      <c r="B109" s="59">
        <f t="shared" si="1"/>
        <v>41</v>
      </c>
      <c r="C109" s="61"/>
      <c r="D109" s="19"/>
      <c r="E109" s="19"/>
      <c r="F109" s="19"/>
      <c r="G109" s="19"/>
      <c r="H109" s="19"/>
      <c r="I109" s="19"/>
      <c r="J109" s="19"/>
      <c r="K109" s="16"/>
    </row>
    <row r="110" spans="2:11" ht="14" customHeight="1">
      <c r="B110" s="59">
        <f t="shared" si="1"/>
        <v>42</v>
      </c>
      <c r="C110" s="61"/>
      <c r="D110" s="19"/>
      <c r="E110" s="19"/>
      <c r="F110" s="19"/>
      <c r="G110" s="19"/>
      <c r="H110" s="19"/>
      <c r="I110" s="19"/>
      <c r="J110" s="76"/>
      <c r="K110" s="16"/>
    </row>
    <row r="111" spans="2:11" ht="14" customHeight="1">
      <c r="B111" s="59">
        <f t="shared" si="1"/>
        <v>43</v>
      </c>
      <c r="C111" s="61"/>
      <c r="D111" s="19"/>
      <c r="E111" s="19"/>
      <c r="F111" s="19"/>
      <c r="G111" s="19"/>
      <c r="H111" s="19"/>
      <c r="I111" s="19"/>
      <c r="J111" s="19"/>
      <c r="K111" s="16"/>
    </row>
    <row r="112" spans="2:11" ht="14" customHeight="1">
      <c r="B112" s="59">
        <f t="shared" si="1"/>
        <v>44</v>
      </c>
      <c r="C112" s="61"/>
      <c r="D112" s="19"/>
      <c r="E112" s="19"/>
      <c r="F112" s="19"/>
      <c r="G112" s="19"/>
      <c r="H112" s="19"/>
      <c r="I112" s="19"/>
      <c r="J112" s="19"/>
      <c r="K112" s="16"/>
    </row>
    <row r="113" spans="2:11" ht="14" customHeight="1">
      <c r="B113" s="59">
        <f t="shared" si="1"/>
        <v>45</v>
      </c>
      <c r="C113" s="61"/>
      <c r="D113" s="19"/>
      <c r="E113" s="19"/>
      <c r="F113" s="19"/>
      <c r="G113" s="19"/>
      <c r="H113" s="19"/>
      <c r="I113" s="19"/>
      <c r="J113" s="19"/>
      <c r="K113" s="16"/>
    </row>
    <row r="114" spans="2:11" ht="14" customHeight="1">
      <c r="B114" s="59">
        <f t="shared" si="1"/>
        <v>46</v>
      </c>
      <c r="C114" s="62"/>
      <c r="K114" s="16"/>
    </row>
    <row r="115" spans="2:11" ht="14" customHeight="1">
      <c r="B115" s="59">
        <f t="shared" si="1"/>
        <v>47</v>
      </c>
      <c r="C115" s="62"/>
      <c r="K115" s="16"/>
    </row>
    <row r="116" spans="2:11" ht="14" customHeight="1">
      <c r="B116" s="59">
        <f t="shared" si="1"/>
        <v>48</v>
      </c>
      <c r="C116" s="62"/>
      <c r="K116" s="16"/>
    </row>
    <row r="117" spans="2:11" ht="14" customHeight="1">
      <c r="B117" s="59">
        <f t="shared" si="1"/>
        <v>49</v>
      </c>
      <c r="C117" s="62"/>
      <c r="K117" s="16"/>
    </row>
    <row r="118" spans="2:11" ht="14" customHeight="1">
      <c r="B118" s="59">
        <f t="shared" si="1"/>
        <v>50</v>
      </c>
      <c r="C118" s="62"/>
      <c r="K118" s="16"/>
    </row>
    <row r="119" spans="2:11" ht="14" customHeight="1">
      <c r="B119" s="59">
        <f t="shared" si="1"/>
        <v>51</v>
      </c>
      <c r="C119" s="62"/>
      <c r="K119" s="16"/>
    </row>
    <row r="120" spans="2:11" ht="14" customHeight="1">
      <c r="B120" s="59">
        <f t="shared" si="1"/>
        <v>52</v>
      </c>
      <c r="C120" s="62"/>
      <c r="K120" s="16"/>
    </row>
    <row r="121" spans="2:11" ht="14" customHeight="1">
      <c r="B121" s="59">
        <f t="shared" si="1"/>
        <v>53</v>
      </c>
      <c r="C121" s="62"/>
      <c r="K121" s="16"/>
    </row>
    <row r="122" spans="2:11" ht="14" customHeight="1">
      <c r="B122" s="59">
        <f t="shared" si="1"/>
        <v>54</v>
      </c>
      <c r="C122" s="62"/>
      <c r="K122" s="16"/>
    </row>
    <row r="123" spans="2:11" ht="14" customHeight="1">
      <c r="B123" s="59">
        <f t="shared" si="1"/>
        <v>55</v>
      </c>
      <c r="C123" s="62"/>
      <c r="K123" s="16"/>
    </row>
    <row r="124" spans="2:11" ht="14" customHeight="1">
      <c r="B124" s="59">
        <f t="shared" si="1"/>
        <v>56</v>
      </c>
      <c r="C124" s="62"/>
      <c r="K124" s="16"/>
    </row>
    <row r="125" spans="2:11" ht="14" customHeight="1">
      <c r="B125" s="59">
        <f t="shared" si="1"/>
        <v>57</v>
      </c>
      <c r="C125" s="62"/>
      <c r="K125" s="16"/>
    </row>
    <row r="126" spans="2:11" ht="14" customHeight="1">
      <c r="B126" s="59">
        <f t="shared" si="1"/>
        <v>58</v>
      </c>
      <c r="C126" s="62"/>
      <c r="K126" s="16"/>
    </row>
    <row r="127" spans="2:11" ht="14" customHeight="1">
      <c r="B127" s="59">
        <f t="shared" si="1"/>
        <v>59</v>
      </c>
      <c r="C127" s="62"/>
      <c r="K127" s="16"/>
    </row>
    <row r="128" spans="2:11" ht="14" customHeight="1">
      <c r="B128" s="59">
        <f t="shared" si="1"/>
        <v>60</v>
      </c>
      <c r="C128" s="62"/>
      <c r="K128" s="16"/>
    </row>
    <row r="129" spans="2:11" ht="14" customHeight="1">
      <c r="B129" s="59">
        <f t="shared" si="1"/>
        <v>61</v>
      </c>
      <c r="C129" s="62"/>
      <c r="K129" s="16"/>
    </row>
    <row r="130" spans="2:11" ht="14" customHeight="1">
      <c r="B130" s="59">
        <f t="shared" si="1"/>
        <v>62</v>
      </c>
      <c r="C130" s="62"/>
      <c r="J130" s="75"/>
      <c r="K130" s="16"/>
    </row>
    <row r="131" spans="2:11" ht="14" customHeight="1" thickBot="1">
      <c r="B131" s="63">
        <f t="shared" si="1"/>
        <v>63</v>
      </c>
      <c r="C131" s="64"/>
      <c r="D131" s="12"/>
      <c r="E131" s="12"/>
      <c r="F131" s="12"/>
      <c r="G131" s="12"/>
      <c r="H131" s="12"/>
      <c r="I131" s="12"/>
      <c r="J131" s="12"/>
      <c r="K131" s="13"/>
    </row>
  </sheetData>
  <mergeCells count="8">
    <mergeCell ref="G74:H74"/>
    <mergeCell ref="G75:H75"/>
    <mergeCell ref="C3:J3"/>
    <mergeCell ref="C14:D14"/>
    <mergeCell ref="F24:G24"/>
    <mergeCell ref="H24:I24"/>
    <mergeCell ref="G72:H72"/>
    <mergeCell ref="G73:H73"/>
  </mergeCells>
  <dataValidations count="2">
    <dataValidation type="custom" allowBlank="1" showInputMessage="1" showErrorMessage="1" sqref="E59:J67" xr:uid="{7C28EDFC-56D3-4149-9A7C-33E759A6E73B}">
      <formula1>ISNUMBER(E59:J67)</formula1>
    </dataValidation>
    <dataValidation type="custom" allowBlank="1" showInputMessage="1" showErrorMessage="1" sqref="E48:J55" xr:uid="{B06ED689-CC11-8D47-AB12-335CC47E2918}">
      <formula1>ISNUMBER(E48:J55)</formula1>
    </dataValidation>
  </dataValidations>
  <printOptions horizontalCentered="1" verticalCentered="1"/>
  <pageMargins left="0.25" right="0.25" top="0.25" bottom="0.25" header="0" footer="0.25"/>
  <pageSetup paperSize="9" scale="81" fitToHeight="2" orientation="portrait" horizontalDpi="0" verticalDpi="0"/>
  <headerFooter>
    <oddFooter>Page &amp;P of &amp;N</oddFooter>
  </headerFooter>
  <rowBreaks count="1" manualBreakCount="1">
    <brk id="68" min="1" max="10" man="1"/>
  </row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AEB8D-0146-BD40-B969-C4DE81D135B4}">
  <sheetPr codeName="Sheet5"/>
  <dimension ref="A1:H42"/>
  <sheetViews>
    <sheetView workbookViewId="0">
      <selection activeCell="B14" sqref="B14"/>
    </sheetView>
  </sheetViews>
  <sheetFormatPr baseColWidth="10" defaultRowHeight="16"/>
  <cols>
    <col min="1" max="1" width="25.83203125" style="65" bestFit="1" customWidth="1"/>
    <col min="2" max="2" width="33.33203125" style="65" bestFit="1" customWidth="1"/>
    <col min="3" max="3" width="21.83203125" style="65" bestFit="1" customWidth="1"/>
    <col min="4" max="4" width="13.83203125" style="65" bestFit="1" customWidth="1"/>
    <col min="5" max="5" width="11.33203125" style="65" bestFit="1" customWidth="1"/>
    <col min="6" max="8" width="4.1640625" style="65" bestFit="1" customWidth="1"/>
    <col min="9" max="16384" width="10.83203125" style="65"/>
  </cols>
  <sheetData>
    <row r="1" spans="1:8">
      <c r="A1" s="65" t="str">
        <f t="shared" ref="A1:A42" si="0">"='"&amp;$D1&amp;"'!"&amp;$E1</f>
        <v>='InputDataSheet'!$G$3</v>
      </c>
      <c r="B1" s="65" t="str">
        <f t="shared" ref="B1:B42" si="1">"'"&amp;$D1&amp;"'!"&amp;$C1</f>
        <v>'InputDataSheet'!PumpD0</v>
      </c>
      <c r="C1" s="65" t="s">
        <v>18</v>
      </c>
      <c r="D1" s="66" t="s">
        <v>103</v>
      </c>
      <c r="E1" s="67" t="s">
        <v>157</v>
      </c>
      <c r="F1" s="65">
        <v>204</v>
      </c>
      <c r="G1" s="65">
        <v>255</v>
      </c>
      <c r="H1" s="65">
        <v>204</v>
      </c>
    </row>
    <row r="2" spans="1:8">
      <c r="A2" s="65" t="str">
        <f t="shared" si="0"/>
        <v>='InputDataSheet'!$G$4</v>
      </c>
      <c r="B2" s="65" t="str">
        <f t="shared" si="1"/>
        <v>'InputDataSheet'!PumpD3</v>
      </c>
      <c r="C2" s="65" t="s">
        <v>19</v>
      </c>
      <c r="D2" s="66" t="s">
        <v>103</v>
      </c>
      <c r="E2" s="67" t="s">
        <v>158</v>
      </c>
      <c r="F2" s="65">
        <v>204</v>
      </c>
      <c r="G2" s="65">
        <v>255</v>
      </c>
      <c r="H2" s="65">
        <v>204</v>
      </c>
    </row>
    <row r="3" spans="1:8">
      <c r="A3" s="65" t="str">
        <f t="shared" si="0"/>
        <v>='InputDataSheet'!$G$5</v>
      </c>
      <c r="B3" s="65" t="str">
        <f t="shared" si="1"/>
        <v>'InputDataSheet'!PumpTAG</v>
      </c>
      <c r="C3" s="65" t="s">
        <v>20</v>
      </c>
      <c r="D3" s="66" t="s">
        <v>103</v>
      </c>
      <c r="E3" s="67" t="s">
        <v>159</v>
      </c>
      <c r="F3" s="65">
        <v>204</v>
      </c>
      <c r="G3" s="65">
        <v>255</v>
      </c>
      <c r="H3" s="65">
        <v>204</v>
      </c>
    </row>
    <row r="4" spans="1:8">
      <c r="A4" s="65" t="str">
        <f t="shared" si="0"/>
        <v>='InputDataSheet'!$G$6</v>
      </c>
      <c r="B4" s="65" t="str">
        <f t="shared" si="1"/>
        <v>'InputDataSheet'!RatedPointDinVisc</v>
      </c>
      <c r="C4" s="65" t="s">
        <v>21</v>
      </c>
      <c r="D4" s="66" t="s">
        <v>103</v>
      </c>
      <c r="E4" s="67" t="s">
        <v>160</v>
      </c>
      <c r="F4" s="65">
        <v>255</v>
      </c>
      <c r="G4" s="65">
        <v>255</v>
      </c>
      <c r="H4" s="65">
        <v>204</v>
      </c>
    </row>
    <row r="5" spans="1:8">
      <c r="A5" s="65" t="str">
        <f t="shared" si="0"/>
        <v>='InputDataSheet'!$G$7</v>
      </c>
      <c r="B5" s="65" t="str">
        <f t="shared" si="1"/>
        <v>'InputDataSheet'!RatedPointDriverPower</v>
      </c>
      <c r="C5" s="67" t="s">
        <v>22</v>
      </c>
      <c r="D5" s="66" t="s">
        <v>103</v>
      </c>
      <c r="E5" s="67" t="s">
        <v>161</v>
      </c>
      <c r="F5" s="65">
        <v>204</v>
      </c>
      <c r="G5" s="65">
        <v>255</v>
      </c>
      <c r="H5" s="65">
        <v>204</v>
      </c>
    </row>
    <row r="6" spans="1:8">
      <c r="A6" s="65" t="str">
        <f t="shared" si="0"/>
        <v>='InputDataSheet'!$G$8</v>
      </c>
      <c r="B6" s="65" t="str">
        <f t="shared" si="1"/>
        <v>'InputDataSheet'!RatedPointEfficiency</v>
      </c>
      <c r="C6" s="67" t="s">
        <v>23</v>
      </c>
      <c r="D6" s="66" t="s">
        <v>103</v>
      </c>
      <c r="E6" s="67" t="s">
        <v>162</v>
      </c>
      <c r="F6" s="65">
        <v>255</v>
      </c>
      <c r="G6" s="65">
        <v>255</v>
      </c>
      <c r="H6" s="65">
        <v>204</v>
      </c>
    </row>
    <row r="7" spans="1:8">
      <c r="A7" s="65" t="str">
        <f t="shared" si="0"/>
        <v>='InputDataSheet'!$G$9</v>
      </c>
      <c r="B7" s="65" t="str">
        <f t="shared" si="1"/>
        <v>'InputDataSheet'!RatedPointHead</v>
      </c>
      <c r="C7" s="65" t="s">
        <v>24</v>
      </c>
      <c r="D7" s="66" t="s">
        <v>103</v>
      </c>
      <c r="E7" s="67" t="s">
        <v>163</v>
      </c>
      <c r="F7" s="65">
        <v>204</v>
      </c>
      <c r="G7" s="65">
        <v>255</v>
      </c>
      <c r="H7" s="65">
        <v>204</v>
      </c>
    </row>
    <row r="8" spans="1:8">
      <c r="A8" s="65" t="str">
        <f t="shared" si="0"/>
        <v>='InputDataSheet'!$G$10</v>
      </c>
      <c r="B8" s="65" t="str">
        <f t="shared" si="1"/>
        <v>'InputDataSheet'!RatedPointHydPower</v>
      </c>
      <c r="C8" s="65" t="s">
        <v>25</v>
      </c>
      <c r="D8" s="66" t="s">
        <v>103</v>
      </c>
      <c r="E8" s="67" t="s">
        <v>164</v>
      </c>
      <c r="F8" s="65">
        <v>204</v>
      </c>
      <c r="G8" s="65">
        <v>255</v>
      </c>
      <c r="H8" s="65">
        <v>204</v>
      </c>
    </row>
    <row r="9" spans="1:8">
      <c r="A9" s="65" t="str">
        <f t="shared" si="0"/>
        <v>='InputDataSheet'!$G$11</v>
      </c>
      <c r="B9" s="65" t="str">
        <f t="shared" si="1"/>
        <v>'InputDataSheet'!RatedPointN</v>
      </c>
      <c r="C9" s="65" t="s">
        <v>26</v>
      </c>
      <c r="D9" s="66" t="s">
        <v>103</v>
      </c>
      <c r="E9" s="67" t="s">
        <v>165</v>
      </c>
      <c r="F9" s="65">
        <v>204</v>
      </c>
      <c r="G9" s="65">
        <v>255</v>
      </c>
      <c r="H9" s="65">
        <v>204</v>
      </c>
    </row>
    <row r="10" spans="1:8">
      <c r="A10" s="65" t="str">
        <f t="shared" si="0"/>
        <v>='InputDataSheet'!$G$12</v>
      </c>
      <c r="B10" s="65" t="str">
        <f t="shared" si="1"/>
        <v>'InputDataSheet'!RatedPointNPSHA</v>
      </c>
      <c r="C10" s="65" t="s">
        <v>27</v>
      </c>
      <c r="D10" s="66" t="s">
        <v>103</v>
      </c>
      <c r="E10" s="67" t="s">
        <v>166</v>
      </c>
      <c r="F10" s="65">
        <v>255</v>
      </c>
      <c r="G10" s="65">
        <v>255</v>
      </c>
      <c r="H10" s="65">
        <v>204</v>
      </c>
    </row>
    <row r="11" spans="1:8">
      <c r="A11" s="65" t="str">
        <f t="shared" si="0"/>
        <v>='InputDataSheet'!$G$13</v>
      </c>
      <c r="B11" s="65" t="str">
        <f t="shared" si="1"/>
        <v>'InputDataSheet'!RatedPointP0</v>
      </c>
      <c r="C11" s="65" t="s">
        <v>28</v>
      </c>
      <c r="D11" s="66" t="s">
        <v>103</v>
      </c>
      <c r="E11" s="67" t="s">
        <v>167</v>
      </c>
      <c r="F11" s="65">
        <v>204</v>
      </c>
      <c r="G11" s="65">
        <v>255</v>
      </c>
      <c r="H11" s="65">
        <v>204</v>
      </c>
    </row>
    <row r="12" spans="1:8">
      <c r="A12" s="65" t="str">
        <f t="shared" si="0"/>
        <v>='InputDataSheet'!$G$14</v>
      </c>
      <c r="B12" s="65" t="str">
        <f t="shared" si="1"/>
        <v>'InputDataSheet'!RatedPointP3</v>
      </c>
      <c r="C12" s="65" t="s">
        <v>29</v>
      </c>
      <c r="D12" s="66" t="s">
        <v>103</v>
      </c>
      <c r="E12" s="67" t="s">
        <v>168</v>
      </c>
      <c r="F12" s="65">
        <v>204</v>
      </c>
      <c r="G12" s="65">
        <v>255</v>
      </c>
      <c r="H12" s="65">
        <v>204</v>
      </c>
    </row>
    <row r="13" spans="1:8">
      <c r="A13" s="65" t="str">
        <f t="shared" si="0"/>
        <v>='InputDataSheet'!$G$15</v>
      </c>
      <c r="B13" s="65" t="str">
        <f t="shared" si="1"/>
        <v>'InputDataSheet'!RatedPointQ</v>
      </c>
      <c r="C13" s="65" t="s">
        <v>30</v>
      </c>
      <c r="D13" s="66" t="s">
        <v>103</v>
      </c>
      <c r="E13" s="67" t="s">
        <v>169</v>
      </c>
      <c r="F13" s="65">
        <v>204</v>
      </c>
      <c r="G13" s="65">
        <v>255</v>
      </c>
      <c r="H13" s="65">
        <v>204</v>
      </c>
    </row>
    <row r="14" spans="1:8">
      <c r="A14" s="65" t="str">
        <f t="shared" si="0"/>
        <v>='InputDataSheet'!$G$16</v>
      </c>
      <c r="B14" s="65" t="str">
        <f t="shared" si="1"/>
        <v>'InputDataSheet'!RatedPointDensity</v>
      </c>
      <c r="C14" s="65" t="s">
        <v>174</v>
      </c>
      <c r="D14" s="66" t="s">
        <v>103</v>
      </c>
      <c r="E14" s="67" t="s">
        <v>170</v>
      </c>
      <c r="F14" s="65">
        <v>255</v>
      </c>
      <c r="G14" s="65">
        <v>255</v>
      </c>
      <c r="H14" s="65">
        <v>204</v>
      </c>
    </row>
    <row r="15" spans="1:8">
      <c r="A15" s="65" t="str">
        <f t="shared" si="0"/>
        <v>='InputDataSheet'!$G$17</v>
      </c>
      <c r="B15" s="65" t="str">
        <f t="shared" si="1"/>
        <v>'InputDataSheet'!RatedPointTemp</v>
      </c>
      <c r="C15" s="65" t="s">
        <v>32</v>
      </c>
      <c r="D15" s="66" t="s">
        <v>103</v>
      </c>
      <c r="E15" s="67" t="s">
        <v>171</v>
      </c>
      <c r="F15" s="65">
        <v>255</v>
      </c>
      <c r="G15" s="65">
        <v>255</v>
      </c>
      <c r="H15" s="65">
        <v>204</v>
      </c>
    </row>
    <row r="16" spans="1:8">
      <c r="A16" s="65" t="str">
        <f t="shared" si="0"/>
        <v>='InputTestData'!$F$18</v>
      </c>
      <c r="B16" s="65" t="str">
        <f t="shared" si="1"/>
        <v>'InputTestData'!ApparatusZ0</v>
      </c>
      <c r="C16" s="65" t="s">
        <v>104</v>
      </c>
      <c r="D16" s="68" t="s">
        <v>105</v>
      </c>
      <c r="E16" s="67" t="s">
        <v>106</v>
      </c>
      <c r="F16" s="65">
        <v>255</v>
      </c>
      <c r="G16" s="65">
        <v>255</v>
      </c>
      <c r="H16" s="65">
        <v>204</v>
      </c>
    </row>
    <row r="17" spans="1:8">
      <c r="A17" s="65" t="str">
        <f t="shared" si="0"/>
        <v>='InputTestData'!$F$19</v>
      </c>
      <c r="B17" s="65" t="str">
        <f t="shared" si="1"/>
        <v>'InputTestData'!ApparatusZ3</v>
      </c>
      <c r="C17" s="65" t="s">
        <v>107</v>
      </c>
      <c r="D17" s="68" t="s">
        <v>105</v>
      </c>
      <c r="E17" s="67" t="s">
        <v>108</v>
      </c>
      <c r="F17" s="65">
        <v>255</v>
      </c>
      <c r="G17" s="65">
        <v>255</v>
      </c>
      <c r="H17" s="65">
        <v>204</v>
      </c>
    </row>
    <row r="18" spans="1:8">
      <c r="A18" s="65" t="str">
        <f t="shared" si="0"/>
        <v>='InputTestData'!$F$20</v>
      </c>
      <c r="B18" s="65" t="str">
        <f t="shared" si="1"/>
        <v>'InputTestData'!ApparatusZM0</v>
      </c>
      <c r="C18" s="65" t="s">
        <v>109</v>
      </c>
      <c r="D18" s="68" t="s">
        <v>105</v>
      </c>
      <c r="E18" s="67" t="s">
        <v>110</v>
      </c>
      <c r="F18" s="65">
        <v>255</v>
      </c>
      <c r="G18" s="65">
        <v>255</v>
      </c>
      <c r="H18" s="65">
        <v>204</v>
      </c>
    </row>
    <row r="19" spans="1:8">
      <c r="A19" s="65" t="str">
        <f t="shared" si="0"/>
        <v>='InputTestData'!$F$21</v>
      </c>
      <c r="B19" s="65" t="str">
        <f t="shared" si="1"/>
        <v>'InputTestData'!ApparatusZM3</v>
      </c>
      <c r="C19" s="65" t="s">
        <v>111</v>
      </c>
      <c r="D19" s="68" t="s">
        <v>105</v>
      </c>
      <c r="E19" s="67" t="s">
        <v>112</v>
      </c>
      <c r="F19" s="65">
        <v>255</v>
      </c>
      <c r="G19" s="65">
        <v>255</v>
      </c>
      <c r="H19" s="65">
        <v>204</v>
      </c>
    </row>
    <row r="20" spans="1:8">
      <c r="A20" s="65" t="str">
        <f t="shared" si="0"/>
        <v>='InputTestData'!$C$83</v>
      </c>
      <c r="B20" s="65" t="str">
        <f t="shared" si="1"/>
        <v>'InputTestData'!ChartLefCorner</v>
      </c>
      <c r="C20" s="69" t="s">
        <v>113</v>
      </c>
      <c r="D20" s="70" t="s">
        <v>105</v>
      </c>
      <c r="E20" s="69" t="s">
        <v>114</v>
      </c>
      <c r="F20" s="71">
        <v>255</v>
      </c>
      <c r="G20" s="65">
        <v>255</v>
      </c>
      <c r="H20" s="65">
        <v>255</v>
      </c>
    </row>
    <row r="21" spans="1:8">
      <c r="A21" s="65" t="str">
        <f t="shared" si="0"/>
        <v>='InputTestData'!$J$130</v>
      </c>
      <c r="B21" s="65" t="str">
        <f t="shared" si="1"/>
        <v>'InputTestData'!ChartRightCorner</v>
      </c>
      <c r="C21" s="69" t="s">
        <v>115</v>
      </c>
      <c r="D21" s="70" t="s">
        <v>105</v>
      </c>
      <c r="E21" s="69" t="s">
        <v>116</v>
      </c>
      <c r="F21" s="71">
        <v>255</v>
      </c>
      <c r="G21" s="65">
        <v>255</v>
      </c>
      <c r="H21" s="65">
        <v>255</v>
      </c>
    </row>
    <row r="22" spans="1:8">
      <c r="A22" s="65" t="str">
        <f t="shared" si="0"/>
        <v>='InputTestData'!$J$110</v>
      </c>
      <c r="B22" s="65" t="str">
        <f t="shared" si="1"/>
        <v>'InputTestData'!ChartRightMid</v>
      </c>
      <c r="C22" s="69" t="s">
        <v>117</v>
      </c>
      <c r="D22" s="70" t="s">
        <v>105</v>
      </c>
      <c r="E22" s="69" t="s">
        <v>118</v>
      </c>
      <c r="F22" s="71">
        <v>255</v>
      </c>
      <c r="G22" s="65">
        <v>255</v>
      </c>
      <c r="H22" s="65">
        <v>255</v>
      </c>
    </row>
    <row r="23" spans="1:8">
      <c r="A23" s="65" t="str">
        <f t="shared" si="0"/>
        <v>='InputTestData'!$F$15</v>
      </c>
      <c r="B23" s="65" t="str">
        <f t="shared" si="1"/>
        <v>'InputTestData'!PumpD0</v>
      </c>
      <c r="C23" s="65" t="s">
        <v>18</v>
      </c>
      <c r="D23" s="72" t="s">
        <v>105</v>
      </c>
      <c r="E23" s="67" t="s">
        <v>119</v>
      </c>
      <c r="F23" s="65">
        <v>230</v>
      </c>
      <c r="G23" s="65">
        <v>230</v>
      </c>
      <c r="H23" s="65">
        <v>230</v>
      </c>
    </row>
    <row r="24" spans="1:8">
      <c r="A24" s="65" t="str">
        <f t="shared" si="0"/>
        <v>='InputTestData'!$F$16</v>
      </c>
      <c r="B24" s="65" t="str">
        <f t="shared" si="1"/>
        <v>'InputTestData'!PumpD3</v>
      </c>
      <c r="C24" s="65" t="s">
        <v>19</v>
      </c>
      <c r="D24" s="72" t="s">
        <v>105</v>
      </c>
      <c r="E24" s="67" t="s">
        <v>120</v>
      </c>
      <c r="F24" s="65">
        <v>230</v>
      </c>
      <c r="G24" s="65">
        <v>230</v>
      </c>
      <c r="H24" s="65">
        <v>230</v>
      </c>
    </row>
    <row r="25" spans="1:8">
      <c r="A25" s="65" t="str">
        <f t="shared" si="0"/>
        <v>='InputTestData'!$E$67:$J$67</v>
      </c>
      <c r="B25" s="65" t="str">
        <f t="shared" si="1"/>
        <v>'InputTestData'!TestPointCorCEff</v>
      </c>
      <c r="C25" s="73" t="s">
        <v>121</v>
      </c>
      <c r="D25" s="70" t="s">
        <v>105</v>
      </c>
      <c r="E25" s="69" t="s">
        <v>122</v>
      </c>
      <c r="F25" s="65">
        <v>230</v>
      </c>
      <c r="G25" s="65">
        <v>230</v>
      </c>
      <c r="H25" s="65">
        <v>230</v>
      </c>
    </row>
    <row r="26" spans="1:8">
      <c r="A26" s="65" t="str">
        <f t="shared" si="0"/>
        <v>='InputTestData'!$E$66:$J$66</v>
      </c>
      <c r="B26" s="65" t="str">
        <f t="shared" si="1"/>
        <v>'InputTestData'!TestPointCorCH</v>
      </c>
      <c r="C26" s="73" t="s">
        <v>123</v>
      </c>
      <c r="D26" s="70" t="s">
        <v>105</v>
      </c>
      <c r="E26" s="67" t="s">
        <v>124</v>
      </c>
      <c r="F26" s="65">
        <v>230</v>
      </c>
      <c r="G26" s="65">
        <v>230</v>
      </c>
      <c r="H26" s="65">
        <v>230</v>
      </c>
    </row>
    <row r="27" spans="1:8">
      <c r="A27" s="65" t="str">
        <f t="shared" si="0"/>
        <v>='InputTestData'!$E$65:$J$65</v>
      </c>
      <c r="B27" s="65" t="str">
        <f t="shared" si="1"/>
        <v>'InputTestData'!TestPointCorCQ</v>
      </c>
      <c r="C27" s="73" t="s">
        <v>125</v>
      </c>
      <c r="D27" s="70" t="s">
        <v>105</v>
      </c>
      <c r="E27" s="67" t="s">
        <v>126</v>
      </c>
      <c r="F27" s="65">
        <v>230</v>
      </c>
      <c r="G27" s="65">
        <v>230</v>
      </c>
      <c r="H27" s="65">
        <v>230</v>
      </c>
    </row>
    <row r="28" spans="1:8">
      <c r="A28" s="65" t="str">
        <f t="shared" si="0"/>
        <v>='InputTestData'!$E$61:$J$61</v>
      </c>
      <c r="B28" s="65" t="str">
        <f t="shared" si="1"/>
        <v>'InputTestData'!TestPointCorDriverPower</v>
      </c>
      <c r="C28" s="65" t="s">
        <v>127</v>
      </c>
      <c r="D28" s="68" t="s">
        <v>105</v>
      </c>
      <c r="E28" s="67" t="s">
        <v>128</v>
      </c>
      <c r="F28" s="65">
        <v>230</v>
      </c>
      <c r="G28" s="65">
        <v>230</v>
      </c>
      <c r="H28" s="65">
        <v>230</v>
      </c>
    </row>
    <row r="29" spans="1:8">
      <c r="A29" s="65" t="str">
        <f t="shared" si="0"/>
        <v>='InputTestData'!$E$62:$J$62</v>
      </c>
      <c r="B29" s="65" t="str">
        <f t="shared" si="1"/>
        <v>'InputTestData'!TestPointCorEfficiency</v>
      </c>
      <c r="C29" s="67" t="s">
        <v>129</v>
      </c>
      <c r="D29" s="68" t="s">
        <v>105</v>
      </c>
      <c r="E29" s="67" t="s">
        <v>130</v>
      </c>
      <c r="F29" s="65">
        <v>230</v>
      </c>
      <c r="G29" s="65">
        <v>230</v>
      </c>
      <c r="H29" s="65">
        <v>230</v>
      </c>
    </row>
    <row r="30" spans="1:8">
      <c r="A30" s="65" t="str">
        <f t="shared" si="0"/>
        <v>='InputTestData'!$E$60:$J$60</v>
      </c>
      <c r="B30" s="65" t="str">
        <f t="shared" si="1"/>
        <v>'InputTestData'!TestPointCorHead</v>
      </c>
      <c r="C30" s="65" t="s">
        <v>131</v>
      </c>
      <c r="D30" s="68" t="s">
        <v>105</v>
      </c>
      <c r="E30" s="67" t="s">
        <v>132</v>
      </c>
      <c r="F30" s="65">
        <v>230</v>
      </c>
      <c r="G30" s="65">
        <v>230</v>
      </c>
      <c r="H30" s="65">
        <v>230</v>
      </c>
    </row>
    <row r="31" spans="1:8">
      <c r="A31" s="65" t="str">
        <f t="shared" si="0"/>
        <v>='InputTestData'!$E$64:$J$64</v>
      </c>
      <c r="B31" s="65" t="str">
        <f t="shared" si="1"/>
        <v>'InputTestData'!TestPointCorNPSH3</v>
      </c>
      <c r="C31" s="67" t="s">
        <v>133</v>
      </c>
      <c r="D31" s="68" t="s">
        <v>105</v>
      </c>
      <c r="E31" s="67" t="s">
        <v>134</v>
      </c>
      <c r="F31" s="65">
        <v>230</v>
      </c>
      <c r="G31" s="65">
        <v>230</v>
      </c>
      <c r="H31" s="65">
        <v>230</v>
      </c>
    </row>
    <row r="32" spans="1:8">
      <c r="A32" s="65" t="str">
        <f t="shared" si="0"/>
        <v>='InputTestData'!$E$63:$J$63</v>
      </c>
      <c r="B32" s="65" t="str">
        <f t="shared" si="1"/>
        <v>'InputTestData'!TestPointCorNspeed</v>
      </c>
      <c r="C32" s="65" t="s">
        <v>135</v>
      </c>
      <c r="D32" s="68" t="s">
        <v>105</v>
      </c>
      <c r="E32" s="67" t="s">
        <v>136</v>
      </c>
      <c r="F32" s="65">
        <v>230</v>
      </c>
      <c r="G32" s="65">
        <v>230</v>
      </c>
      <c r="H32" s="65">
        <v>230</v>
      </c>
    </row>
    <row r="33" spans="1:8">
      <c r="A33" s="65" t="str">
        <f t="shared" si="0"/>
        <v>='InputTestData'!$E$59:$J$59</v>
      </c>
      <c r="B33" s="65" t="str">
        <f t="shared" si="1"/>
        <v>'InputTestData'!TestPointCorQ</v>
      </c>
      <c r="C33" s="65" t="s">
        <v>137</v>
      </c>
      <c r="D33" s="68" t="s">
        <v>105</v>
      </c>
      <c r="E33" s="67" t="s">
        <v>138</v>
      </c>
      <c r="F33" s="65">
        <v>230</v>
      </c>
      <c r="G33" s="65">
        <v>230</v>
      </c>
      <c r="H33" s="65">
        <v>230</v>
      </c>
    </row>
    <row r="34" spans="1:8">
      <c r="A34" s="65" t="str">
        <f t="shared" si="0"/>
        <v>='InputTestData'!$E$52:$J$52</v>
      </c>
      <c r="B34" s="65" t="str">
        <f t="shared" si="1"/>
        <v>'InputTestData'!TestPointDriverPower</v>
      </c>
      <c r="C34" s="65" t="s">
        <v>139</v>
      </c>
      <c r="D34" s="68" t="s">
        <v>105</v>
      </c>
      <c r="E34" s="67" t="s">
        <v>140</v>
      </c>
      <c r="F34" s="65">
        <v>204</v>
      </c>
      <c r="G34" s="65">
        <v>255</v>
      </c>
      <c r="H34" s="65">
        <v>204</v>
      </c>
    </row>
    <row r="35" spans="1:8">
      <c r="A35" s="65" t="str">
        <f t="shared" si="0"/>
        <v>='InputTestData'!$E$53:$J$53</v>
      </c>
      <c r="B35" s="65" t="str">
        <f t="shared" si="1"/>
        <v>'InputTestData'!TestPointEfficiency</v>
      </c>
      <c r="C35" s="67" t="s">
        <v>141</v>
      </c>
      <c r="D35" s="68" t="s">
        <v>105</v>
      </c>
      <c r="E35" s="67" t="s">
        <v>142</v>
      </c>
      <c r="F35" s="65">
        <v>230</v>
      </c>
      <c r="G35" s="65">
        <v>230</v>
      </c>
      <c r="H35" s="65">
        <v>230</v>
      </c>
    </row>
    <row r="36" spans="1:8">
      <c r="A36" s="65" t="str">
        <f t="shared" si="0"/>
        <v>='InputTestData'!$E$51:$J$51</v>
      </c>
      <c r="B36" s="65" t="str">
        <f t="shared" si="1"/>
        <v>'InputTestData'!TestPointHead</v>
      </c>
      <c r="C36" s="65" t="s">
        <v>143</v>
      </c>
      <c r="D36" s="68" t="s">
        <v>105</v>
      </c>
      <c r="E36" s="67" t="s">
        <v>144</v>
      </c>
      <c r="F36" s="65">
        <v>230</v>
      </c>
      <c r="G36" s="65">
        <v>230</v>
      </c>
      <c r="H36" s="65">
        <v>230</v>
      </c>
    </row>
    <row r="37" spans="1:8">
      <c r="A37" s="65" t="str">
        <f t="shared" si="0"/>
        <v>='InputTestData'!$E$55:$J$55</v>
      </c>
      <c r="B37" s="65" t="str">
        <f t="shared" si="1"/>
        <v>'InputTestData'!TestPointNPSH3</v>
      </c>
      <c r="C37" s="67" t="s">
        <v>145</v>
      </c>
      <c r="D37" s="68" t="s">
        <v>105</v>
      </c>
      <c r="E37" s="67" t="s">
        <v>146</v>
      </c>
      <c r="F37" s="65">
        <v>204</v>
      </c>
      <c r="G37" s="65">
        <v>255</v>
      </c>
      <c r="H37" s="65">
        <v>204</v>
      </c>
    </row>
    <row r="38" spans="1:8">
      <c r="A38" s="65" t="str">
        <f t="shared" si="0"/>
        <v>='InputTestData'!$E$54:$J$54</v>
      </c>
      <c r="B38" s="65" t="str">
        <f t="shared" si="1"/>
        <v>'InputTestData'!TestPointNspeed</v>
      </c>
      <c r="C38" s="67" t="s">
        <v>147</v>
      </c>
      <c r="D38" s="68" t="s">
        <v>105</v>
      </c>
      <c r="E38" s="67" t="s">
        <v>148</v>
      </c>
      <c r="F38" s="65">
        <v>204</v>
      </c>
      <c r="G38" s="65">
        <v>255</v>
      </c>
      <c r="H38" s="65">
        <v>204</v>
      </c>
    </row>
    <row r="39" spans="1:8">
      <c r="A39" s="65" t="str">
        <f t="shared" si="0"/>
        <v>='InputTestData'!$E$49:$J$49</v>
      </c>
      <c r="B39" s="65" t="str">
        <f t="shared" si="1"/>
        <v>'InputTestData'!TestPointP0</v>
      </c>
      <c r="C39" s="65" t="s">
        <v>149</v>
      </c>
      <c r="D39" s="68" t="s">
        <v>105</v>
      </c>
      <c r="E39" s="65" t="s">
        <v>150</v>
      </c>
      <c r="F39" s="65">
        <v>204</v>
      </c>
      <c r="G39" s="65">
        <v>255</v>
      </c>
      <c r="H39" s="65">
        <v>204</v>
      </c>
    </row>
    <row r="40" spans="1:8">
      <c r="A40" s="65" t="str">
        <f t="shared" si="0"/>
        <v>='InputTestData'!$E$50:$J$50</v>
      </c>
      <c r="B40" s="65" t="str">
        <f t="shared" si="1"/>
        <v>'InputTestData'!TestPointP3</v>
      </c>
      <c r="C40" s="65" t="s">
        <v>151</v>
      </c>
      <c r="D40" s="68" t="s">
        <v>105</v>
      </c>
      <c r="E40" s="65" t="s">
        <v>152</v>
      </c>
      <c r="F40" s="65">
        <v>204</v>
      </c>
      <c r="G40" s="65">
        <v>255</v>
      </c>
      <c r="H40" s="65">
        <v>204</v>
      </c>
    </row>
    <row r="41" spans="1:8">
      <c r="A41" s="65" t="str">
        <f t="shared" si="0"/>
        <v>='InputTestData'!$E$48:$J$48</v>
      </c>
      <c r="B41" s="65" t="str">
        <f t="shared" si="1"/>
        <v>'InputTestData'!TestPointQ</v>
      </c>
      <c r="C41" s="65" t="s">
        <v>153</v>
      </c>
      <c r="D41" s="68" t="s">
        <v>105</v>
      </c>
      <c r="E41" s="65" t="s">
        <v>154</v>
      </c>
      <c r="F41" s="65">
        <v>204</v>
      </c>
      <c r="G41" s="65">
        <v>255</v>
      </c>
      <c r="H41" s="65">
        <v>204</v>
      </c>
    </row>
    <row r="42" spans="1:8">
      <c r="A42" s="65" t="str">
        <f t="shared" si="0"/>
        <v>='InputTestData'!$F$17</v>
      </c>
      <c r="B42" s="65" t="str">
        <f t="shared" si="1"/>
        <v>'InputTestData'!TestPointTemp</v>
      </c>
      <c r="C42" s="65" t="s">
        <v>155</v>
      </c>
      <c r="D42" s="68" t="s">
        <v>105</v>
      </c>
      <c r="E42" s="67" t="s">
        <v>156</v>
      </c>
      <c r="F42" s="65">
        <v>255</v>
      </c>
      <c r="G42" s="65">
        <v>255</v>
      </c>
      <c r="H42" s="65">
        <v>204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45</vt:i4>
      </vt:variant>
    </vt:vector>
  </HeadingPairs>
  <TitlesOfParts>
    <vt:vector size="49" baseType="lpstr">
      <vt:lpstr>GettingStarted</vt:lpstr>
      <vt:lpstr>InputDataSheet</vt:lpstr>
      <vt:lpstr>InputTestData</vt:lpstr>
      <vt:lpstr>NamedRangesList</vt:lpstr>
      <vt:lpstr>InputTestData!ApparatusZ0</vt:lpstr>
      <vt:lpstr>InputTestData!ApparatusZ3</vt:lpstr>
      <vt:lpstr>InputTestData!ApparatusZM0</vt:lpstr>
      <vt:lpstr>InputTestData!ApparatusZM3</vt:lpstr>
      <vt:lpstr>InputTestData!ChartLefCorner</vt:lpstr>
      <vt:lpstr>InputTestData!ChartRightCorner</vt:lpstr>
      <vt:lpstr>InputTestData!ChartRightMid</vt:lpstr>
      <vt:lpstr>InputTestData!Print_Area</vt:lpstr>
      <vt:lpstr>InputTestData!Print_Titles</vt:lpstr>
      <vt:lpstr>InputDataSheet!PumpD0</vt:lpstr>
      <vt:lpstr>InputTestData!PumpD0</vt:lpstr>
      <vt:lpstr>InputDataSheet!PumpD3</vt:lpstr>
      <vt:lpstr>InputTestData!PumpD3</vt:lpstr>
      <vt:lpstr>InputDataSheet!PumpTAG</vt:lpstr>
      <vt:lpstr>InputDataSheet!RatedPointDensity</vt:lpstr>
      <vt:lpstr>InputDataSheet!RatedPointDinVisc</vt:lpstr>
      <vt:lpstr>InputDataSheet!RatedPointDriverPower</vt:lpstr>
      <vt:lpstr>InputDataSheet!RatedPointEfficiency</vt:lpstr>
      <vt:lpstr>InputDataSheet!RatedPointHead</vt:lpstr>
      <vt:lpstr>InputDataSheet!RatedPointHydPower</vt:lpstr>
      <vt:lpstr>InputDataSheet!RatedPointN</vt:lpstr>
      <vt:lpstr>InputDataSheet!RatedPointNPSHA</vt:lpstr>
      <vt:lpstr>InputDataSheet!RatedPointP0</vt:lpstr>
      <vt:lpstr>InputDataSheet!RatedPointP3</vt:lpstr>
      <vt:lpstr>InputDataSheet!RatedPointQ</vt:lpstr>
      <vt:lpstr>InputDataSheet!RatedPointRho</vt:lpstr>
      <vt:lpstr>InputDataSheet!RatedPointTemp</vt:lpstr>
      <vt:lpstr>InputTestData!TestPointCorCEff</vt:lpstr>
      <vt:lpstr>InputTestData!TestPointCorCH</vt:lpstr>
      <vt:lpstr>InputTestData!TestPointCorCQ</vt:lpstr>
      <vt:lpstr>InputTestData!TestPointCorDriverPower</vt:lpstr>
      <vt:lpstr>InputTestData!TestPointCorEfficiency</vt:lpstr>
      <vt:lpstr>InputTestData!TestPointCorHead</vt:lpstr>
      <vt:lpstr>InputTestData!TestPointCorNPSH3</vt:lpstr>
      <vt:lpstr>InputTestData!TestPointCorNspeed</vt:lpstr>
      <vt:lpstr>InputTestData!TestPointCorQ</vt:lpstr>
      <vt:lpstr>InputTestData!TestPointDriverPower</vt:lpstr>
      <vt:lpstr>InputTestData!TestPointEfficiency</vt:lpstr>
      <vt:lpstr>InputTestData!TestPointHead</vt:lpstr>
      <vt:lpstr>InputTestData!TestPointNPSH3</vt:lpstr>
      <vt:lpstr>InputTestData!TestPointNspeed</vt:lpstr>
      <vt:lpstr>InputTestData!TestPointP0</vt:lpstr>
      <vt:lpstr>InputTestData!TestPointP3</vt:lpstr>
      <vt:lpstr>InputTestData!TestPointQ</vt:lpstr>
      <vt:lpstr>InputTestData!TestPointTemp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Cristofer Costa</dc:creator>
  <cp:lastModifiedBy>Cristofer Costa</cp:lastModifiedBy>
  <dcterms:created xsi:type="dcterms:W3CDTF">2021-08-19T00:20:22Z</dcterms:created>
  <dcterms:modified xsi:type="dcterms:W3CDTF">2021-08-19T00:38:20Z</dcterms:modified>
</cp:coreProperties>
</file>